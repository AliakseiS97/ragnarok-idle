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араметры" sheetId="1" state="visible" r:id="rId3"/>
    <sheet name="Кривая до 50k" sheetId="2" state="visible" r:id="rId4"/>
    <sheet name="Все герои (seed)" sheetId="3" state="visible" r:id="rId5"/>
    <sheet name="Цены героев" sheetId="4" state="visible" r:id="rId6"/>
    <sheet name="Гача-дропрейты" sheetId="5" state="visible" r:id="rId7"/>
    <sheet name="Осколки с боссов" sheetId="6" state="visible" r:id="rId8"/>
    <sheet name="Костёр" sheetId="7" state="visible" r:id="rId9"/>
    <sheet name="Герои и вехи" sheetId="8" state="visible" r:id="rId10"/>
    <sheet name="Артефакты" sheetId="9" state="visible" r:id="rId11"/>
    <sheet name="Шахты" sheetId="10" state="visible" r:id="rId12"/>
    <sheet name="Яблоки-траты" sheetId="11" state="visible" r:id="rId13"/>
    <sheet name="Боги-таблица" sheetId="12" state="visible" r:id="rId14"/>
    <sheet name="Боги-баланс" sheetId="13" state="visible" r:id="rId15"/>
    <sheet name="Донат" sheetId="14" state="visible" r:id="rId16"/>
    <sheet name="Монетизация" sheetId="15" state="visible" r:id="rId17"/>
    <sheet name="VIP" sheetId="16" state="visible" r:id="rId18"/>
    <sheet name="Осадные боссы (PvE)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<sst xmlns="http://schemas.openxmlformats.org/spreadsheetml/2006/main" count="821" uniqueCount="520">
  <si>
    <t xml:space="preserve">ЭКОНОМИКА КЛИКЕРА v0.5 — входные параметры</t>
  </si>
  <si>
    <t xml:space="preserve">Синие ячейки крути. Кривая HP — полосная, до 50k (Стена Рагнарёка).</t>
  </si>
  <si>
    <t xml:space="preserve">ПОЛОСНАЯ КРИВАЯ HP (потолок 50k)</t>
  </si>
  <si>
    <t xml:space="preserve">HP моба уровень 1</t>
  </si>
  <si>
    <t xml:space="preserve">база</t>
  </si>
  <si>
    <t xml:space="preserve">Множ. HP полоса 1 (1-10k)</t>
  </si>
  <si>
    <t xml:space="preserve">основной прогресс через ребёрты</t>
  </si>
  <si>
    <t xml:space="preserve">Множ. HP полоса 2 (10k-30k)</t>
  </si>
  <si>
    <t xml:space="preserve">замедление</t>
  </si>
  <si>
    <t xml:space="preserve">Множ. HP полоса 3 (30k-45k)</t>
  </si>
  <si>
    <t xml:space="preserve">очень тяжело</t>
  </si>
  <si>
    <t xml:space="preserve">Множ. HP полоса 4 (45k-50k)</t>
  </si>
  <si>
    <t xml:space="preserve">практически стена</t>
  </si>
  <si>
    <t xml:space="preserve">Мобов на уровне</t>
  </si>
  <si>
    <t xml:space="preserve">HP растёт МЕЖДУ уровнями, не внутри</t>
  </si>
  <si>
    <t xml:space="preserve">Множ. HP щит-босса (x500)</t>
  </si>
  <si>
    <t xml:space="preserve">Защита дневного босса</t>
  </si>
  <si>
    <t xml:space="preserve">ЗОЛОТО (растёт вместе с HP)</t>
  </si>
  <si>
    <t xml:space="preserve">Золото за моба ур.1</t>
  </si>
  <si>
    <t xml:space="preserve">Отставание золота от HP</t>
  </si>
  <si>
    <t xml:space="preserve">золото = HP-множитель ^0.97 (нужен рост DPS)</t>
  </si>
  <si>
    <t xml:space="preserve">УРОН</t>
  </si>
  <si>
    <t xml:space="preserve">Базовый урон/тап</t>
  </si>
  <si>
    <t xml:space="preserve">Базовый DPS героя</t>
  </si>
  <si>
    <t xml:space="preserve">Множ. DPS за ур. героя</t>
  </si>
  <si>
    <t xml:space="preserve">+8%/ур.</t>
  </si>
  <si>
    <t xml:space="preserve">Веха x5 (25/50/75/100)</t>
  </si>
  <si>
    <t xml:space="preserve">разово если нет умения</t>
  </si>
  <si>
    <t xml:space="preserve">Веха x15 (каждые 500)</t>
  </si>
  <si>
    <t xml:space="preserve">Веха x25 (каждые 1000)</t>
  </si>
  <si>
    <t xml:space="preserve">Доп x25/1000 не-золотым</t>
  </si>
  <si>
    <t xml:space="preserve">кристалльные/костровые/боги</t>
  </si>
  <si>
    <t xml:space="preserve">Бонус бафера/ур.</t>
  </si>
  <si>
    <t xml:space="preserve">15-25%</t>
  </si>
  <si>
    <t xml:space="preserve">Множ. особого бафера</t>
  </si>
  <si>
    <t xml:space="preserve">ПЕРЕРОЖДЕНИЕ</t>
  </si>
  <si>
    <t xml:space="preserve">Пепел за 1% DPS</t>
  </si>
  <si>
    <t xml:space="preserve">0.3% -&gt; т.е. 0.003 Пепла за 1% прироста</t>
  </si>
  <si>
    <t xml:space="preserve">Макс. стартовый ур. (артефакт)</t>
  </si>
  <si>
    <t xml:space="preserve">очень дорогой апгрейд за Пепел</t>
  </si>
  <si>
    <t xml:space="preserve">ЦЕНЫ ГЕРОЕВ (золото)</t>
  </si>
  <si>
    <t xml:space="preserve">Цена 1-го героя</t>
  </si>
  <si>
    <t xml:space="preserve">Множ. цены найма</t>
  </si>
  <si>
    <t xml:space="preserve">Множ. цены апгрейда</t>
  </si>
  <si>
    <t xml:space="preserve">КОСТЁР (тяжёлый)</t>
  </si>
  <si>
    <t xml:space="preserve">Осколков T1</t>
  </si>
  <si>
    <t xml:space="preserve">Осколков T2</t>
  </si>
  <si>
    <t xml:space="preserve">Осколков T3</t>
  </si>
  <si>
    <t xml:space="preserve">Осколков с 1 крист.героя</t>
  </si>
  <si>
    <t xml:space="preserve">РЕДКОСТЬ</t>
  </si>
  <si>
    <t xml:space="preserve">Уровней редкости</t>
  </si>
  <si>
    <t xml:space="preserve">5 рамок x 10</t>
  </si>
  <si>
    <t xml:space="preserve">Статы за ступень</t>
  </si>
  <si>
    <t xml:space="preserve">+5%</t>
  </si>
  <si>
    <t xml:space="preserve">Возврат осколков за редкость</t>
  </si>
  <si>
    <t xml:space="preserve">&lt;1 = всегда меньше вложенного (не эксплойт)</t>
  </si>
  <si>
    <t xml:space="preserve">ДНЕВНОЙ БОСС — сбросы</t>
  </si>
  <si>
    <t xml:space="preserve">База цены сброса (Яблоки)</t>
  </si>
  <si>
    <t xml:space="preserve">Множ. цены за сброс</t>
  </si>
  <si>
    <t xml:space="preserve">каждый сброс дороже</t>
  </si>
  <si>
    <t xml:space="preserve">Усиление босса за сброс</t>
  </si>
  <si>
    <t xml:space="preserve">HP x1.5 за каждый сброс</t>
  </si>
  <si>
    <t xml:space="preserve">ДУЭЛИ/КЛАН</t>
  </si>
  <si>
    <t xml:space="preserve">Дуэлей до КД</t>
  </si>
  <si>
    <t xml:space="preserve">КД дуэлей (ч)</t>
  </si>
  <si>
    <t xml:space="preserve">Короны (% силы врага)</t>
  </si>
  <si>
    <t xml:space="preserve">Кора за 1 место/сутки</t>
  </si>
  <si>
    <t xml:space="preserve">bound + недельное сгорание</t>
  </si>
  <si>
    <t xml:space="preserve">ДОНАТ — Слёзы Фрейи</t>
  </si>
  <si>
    <t xml:space="preserve">Цена 1 Слезы ($)</t>
  </si>
  <si>
    <t xml:space="preserve">по аналогии с войдами</t>
  </si>
  <si>
    <t xml:space="preserve">Скидка опт (макс %)</t>
  </si>
  <si>
    <t xml:space="preserve">крупные паки до -25%</t>
  </si>
  <si>
    <t xml:space="preserve">Герой: мин Слёз</t>
  </si>
  <si>
    <t xml:space="preserve">Герой: макс Слёз</t>
  </si>
  <si>
    <t xml:space="preserve">Платящий получает бога</t>
  </si>
  <si>
    <t xml:space="preserve">1=сразу, без гейта</t>
  </si>
  <si>
    <t xml:space="preserve">ФРИ-БАЛАНС БОГОВ</t>
  </si>
  <si>
    <t xml:space="preserve">Слёз-эквивалент на бога (фри)</t>
  </si>
  <si>
    <t xml:space="preserve">условный порог фарма</t>
  </si>
  <si>
    <t xml:space="preserve">Фри-прогресс в день</t>
  </si>
  <si>
    <t xml:space="preserve">усл. ед./день</t>
  </si>
  <si>
    <t xml:space="preserve">Ступеней родословной</t>
  </si>
  <si>
    <t xml:space="preserve">VIP</t>
  </si>
  <si>
    <t xml:space="preserve">Яблок/нед. VIP5</t>
  </si>
  <si>
    <t xml:space="preserve">ПОЛОСНАЯ КРИВАЯ HP ДО СТЕНЫ РАГНАРЁКА (50k)</t>
  </si>
  <si>
    <t xml:space="preserve">HP огромны — показываем log10(HP), т.е. «число из N цифр». Это же причина использовать big-number на бэкенде.</t>
  </si>
  <si>
    <t xml:space="preserve">Уровень</t>
  </si>
  <si>
    <t xml:space="preserve">log10(HP моба)</t>
  </si>
  <si>
    <t xml:space="preserve">HP ≈</t>
  </si>
  <si>
    <t xml:space="preserve">Полоса</t>
  </si>
  <si>
    <t xml:space="preserve">Комментарий</t>
  </si>
  <si>
    <t xml:space="preserve">10^1</t>
  </si>
  <si>
    <t xml:space="preserve">полоса 1</t>
  </si>
  <si>
    <t xml:space="preserve">старт</t>
  </si>
  <si>
    <t xml:space="preserve">10^4</t>
  </si>
  <si>
    <t xml:space="preserve">основной прогресс</t>
  </si>
  <si>
    <t xml:space="preserve">10^14</t>
  </si>
  <si>
    <t xml:space="preserve">10^27</t>
  </si>
  <si>
    <t xml:space="preserve">10^49</t>
  </si>
  <si>
    <t xml:space="preserve">полоса 2</t>
  </si>
  <si>
    <t xml:space="preserve">10^70</t>
  </si>
  <si>
    <t xml:space="preserve">10^113</t>
  </si>
  <si>
    <t xml:space="preserve">10^156</t>
  </si>
  <si>
    <t xml:space="preserve">полоса 3</t>
  </si>
  <si>
    <t xml:space="preserve">10^199</t>
  </si>
  <si>
    <t xml:space="preserve">10^242</t>
  </si>
  <si>
    <t xml:space="preserve">10^306</t>
  </si>
  <si>
    <t xml:space="preserve">полоса 4</t>
  </si>
  <si>
    <t xml:space="preserve">10^348</t>
  </si>
  <si>
    <t xml:space="preserve">СТЕНА — практ. потолок</t>
  </si>
  <si>
    <t xml:space="preserve">ВАЖНО: log10(HP)=245 значит HP это число из 246 цифр. double ломается на ~10^308 (log10≈308). Уже к 48k HP близко к пределу double -&gt; ОБЯЗАТЕЛЕН BigInteger/BigDecimal или мантисса+экспонента. Множители полос — синие в Параметрах, финал тюнится плейтестом.</t>
  </si>
  <si>
    <t xml:space="preserve">ПОЛНЫЙ РОСТЕР ГЕРОЕВ — seed для БД</t>
  </si>
  <si>
    <t xml:space="preserve">ID</t>
  </si>
  <si>
    <t xml:space="preserve">Имя</t>
  </si>
  <si>
    <t xml:space="preserve">Группа</t>
  </si>
  <si>
    <t xml:space="preserve">Тип</t>
  </si>
  <si>
    <t xml:space="preserve">Умение</t>
  </si>
  <si>
    <t xml:space="preserve">Получение</t>
  </si>
  <si>
    <t xml:space="preserve">Цена</t>
  </si>
  <si>
    <t xml:space="preserve">Флаги</t>
  </si>
  <si>
    <t xml:space="preserve">Трэлл</t>
  </si>
  <si>
    <t xml:space="preserve">стартовый</t>
  </si>
  <si>
    <t xml:space="preserve">актив</t>
  </si>
  <si>
    <t xml:space="preserve">Автотап (базовый)</t>
  </si>
  <si>
    <t xml:space="preserve">золото</t>
  </si>
  <si>
    <t xml:space="preserve">50 gold</t>
  </si>
  <si>
    <t xml:space="preserve">Рыбак с Лофотен</t>
  </si>
  <si>
    <t xml:space="preserve">Золото за тап по мобу/боссу</t>
  </si>
  <si>
    <t xml:space="preserve">экспонента</t>
  </si>
  <si>
    <t xml:space="preserve">Скальд</t>
  </si>
  <si>
    <t xml:space="preserve">стартовый-бафер</t>
  </si>
  <si>
    <t xml:space="preserve">бафер</t>
  </si>
  <si>
    <t xml:space="preserve">+DPS всех героев за уровень (главный бафер)</t>
  </si>
  <si>
    <t xml:space="preserve">Охотница фьордов</t>
  </si>
  <si>
    <t xml:space="preserve">пассив</t>
  </si>
  <si>
    <t xml:space="preserve">+крит-шанс тапа за уровень</t>
  </si>
  <si>
    <t xml:space="preserve">Щитоносица</t>
  </si>
  <si>
    <t xml:space="preserve">+общий DPS за уровень</t>
  </si>
  <si>
    <t xml:space="preserve">Берсерк</t>
  </si>
  <si>
    <t xml:space="preserve">Дабл-дамаг: x2 на 10 сек (кд)</t>
  </si>
  <si>
    <t xml:space="preserve">эволюция-&gt;Аватар Ярости</t>
  </si>
  <si>
    <t xml:space="preserve">Вёльва</t>
  </si>
  <si>
    <t xml:space="preserve">Сокращение КД всех умений</t>
  </si>
  <si>
    <t xml:space="preserve">эволюция-&gt;Пророчица</t>
  </si>
  <si>
    <t xml:space="preserve">Гном Брокк</t>
  </si>
  <si>
    <t xml:space="preserve">-цена улучшения героев</t>
  </si>
  <si>
    <t xml:space="preserve">Ульфхеднар</t>
  </si>
  <si>
    <t xml:space="preserve">Каждый 10-й тап = x50 урон</t>
  </si>
  <si>
    <t xml:space="preserve">Капитан драккара</t>
  </si>
  <si>
    <t xml:space="preserve">+золото с боссов уровня</t>
  </si>
  <si>
    <t xml:space="preserve">Эйнхерий</t>
  </si>
  <si>
    <t xml:space="preserve">Усиливает эффект баферов (x3-бафер)</t>
  </si>
  <si>
    <t xml:space="preserve">Валькирия-новобранец</t>
  </si>
  <si>
    <t xml:space="preserve">+DPS за каждого открытого героя</t>
  </si>
  <si>
    <t xml:space="preserve">эволюция-&gt;Сигрдрива</t>
  </si>
  <si>
    <t xml:space="preserve">Хульдра</t>
  </si>
  <si>
    <t xml:space="preserve">Усиление скилла (бафф активок)</t>
  </si>
  <si>
    <t xml:space="preserve">Драуг</t>
  </si>
  <si>
    <t xml:space="preserve">+DPS за убитых врагов (стак)</t>
  </si>
  <si>
    <t xml:space="preserve">эволюция-&gt;Король курганов</t>
  </si>
  <si>
    <t xml:space="preserve">Ледяной ётун</t>
  </si>
  <si>
    <t xml:space="preserve">ребёрт</t>
  </si>
  <si>
    <t xml:space="preserve">ПЕРЕРОЖДЕНИЕ: сброс -&gt; 0.3% Пепла</t>
  </si>
  <si>
    <t xml:space="preserve">НЕСЖИГАЕМ</t>
  </si>
  <si>
    <t xml:space="preserve">Конунг-изгнанник</t>
  </si>
  <si>
    <t xml:space="preserve">скрытый</t>
  </si>
  <si>
    <t xml:space="preserve">+25% урон тапа, аура +10% золота</t>
  </si>
  <si>
    <t xml:space="preserve">эволюция: Трэлл ур.1000</t>
  </si>
  <si>
    <t xml:space="preserve">—</t>
  </si>
  <si>
    <t xml:space="preserve">замена Трэлла</t>
  </si>
  <si>
    <t xml:space="preserve">Аватар Ярости</t>
  </si>
  <si>
    <t xml:space="preserve">Ярость x4 без кд, -20% золота</t>
  </si>
  <si>
    <t xml:space="preserve">эволюция: 500 Ярости</t>
  </si>
  <si>
    <t xml:space="preserve">замена Берсерка</t>
  </si>
  <si>
    <t xml:space="preserve">Пророчица Рагнарёка</t>
  </si>
  <si>
    <t xml:space="preserve">-15% кд команды, видит слабость</t>
  </si>
  <si>
    <t xml:space="preserve">эволюция: 1000-й этаж</t>
  </si>
  <si>
    <t xml:space="preserve">замена Вёльвы</t>
  </si>
  <si>
    <t xml:space="preserve">Король курганов</t>
  </si>
  <si>
    <t xml:space="preserve">+DPS-миньоны (осады PvE)</t>
  </si>
  <si>
    <t xml:space="preserve">эволюция: 1 млн убийств</t>
  </si>
  <si>
    <t xml:space="preserve">замена Драуга</t>
  </si>
  <si>
    <t xml:space="preserve">Сигрдрива</t>
  </si>
  <si>
    <t xml:space="preserve">+DPS за героя, воскрешение в PvE</t>
  </si>
  <si>
    <t xml:space="preserve">эволюция: 7 боссов</t>
  </si>
  <si>
    <t xml:space="preserve">замена Валькирии</t>
  </si>
  <si>
    <t xml:space="preserve">Рататоск</t>
  </si>
  <si>
    <t xml:space="preserve">кристалльный</t>
  </si>
  <si>
    <t xml:space="preserve">Ворует 5% HP босса раз в 30 сек</t>
  </si>
  <si>
    <t xml:space="preserve">кристаллы</t>
  </si>
  <si>
    <t xml:space="preserve">активация</t>
  </si>
  <si>
    <t xml:space="preserve">Хугин и Мунин</t>
  </si>
  <si>
    <t xml:space="preserve">Раскрывают защитников, +10% урона</t>
  </si>
  <si>
    <t xml:space="preserve">Кот Фрейи</t>
  </si>
  <si>
    <t xml:space="preserve">+50% золота оффлайн</t>
  </si>
  <si>
    <t xml:space="preserve">Тангниостр</t>
  </si>
  <si>
    <t xml:space="preserve">Сброс кд всей команды раз в бой</t>
  </si>
  <si>
    <t xml:space="preserve">Мимир (голова)</t>
  </si>
  <si>
    <t xml:space="preserve">+1 выбор умения, +10% опыта</t>
  </si>
  <si>
    <t xml:space="preserve">Вёлунд-кузнец</t>
  </si>
  <si>
    <t xml:space="preserve">гача</t>
  </si>
  <si>
    <t xml:space="preserve">эпик</t>
  </si>
  <si>
    <t xml:space="preserve">+1 осколок с каждого босса</t>
  </si>
  <si>
    <t xml:space="preserve">пак/кристаллы</t>
  </si>
  <si>
    <t xml:space="preserve">Норна Урд</t>
  </si>
  <si>
    <t xml:space="preserve">+20% золота</t>
  </si>
  <si>
    <t xml:space="preserve">набор норн</t>
  </si>
  <si>
    <t xml:space="preserve">Норна Верданди</t>
  </si>
  <si>
    <t xml:space="preserve">+20% DPS</t>
  </si>
  <si>
    <t xml:space="preserve">Норна Скульд</t>
  </si>
  <si>
    <t xml:space="preserve">легенда</t>
  </si>
  <si>
    <t xml:space="preserve">3 норны -&gt; x1.5 доход (ослаблено с x2)</t>
  </si>
  <si>
    <t xml:space="preserve">Эгир</t>
  </si>
  <si>
    <t xml:space="preserve">Команда +30% урона на 20 сек (PvE)</t>
  </si>
  <si>
    <t xml:space="preserve">Ран</t>
  </si>
  <si>
    <t xml:space="preserve">Ловит золото пропущенных тапов</t>
  </si>
  <si>
    <t xml:space="preserve">Свартхёфди</t>
  </si>
  <si>
    <t xml:space="preserve">Массовый урон защитникам (PvE)</t>
  </si>
  <si>
    <t xml:space="preserve">замена Хрёсвельга</t>
  </si>
  <si>
    <t xml:space="preserve">Гуллинбурсти</t>
  </si>
  <si>
    <t xml:space="preserve">редкий</t>
  </si>
  <si>
    <t xml:space="preserve">+15% скорость атаки (убрать привязку к реал.времени?)</t>
  </si>
  <si>
    <t xml:space="preserve">ОБДУМАТЬ</t>
  </si>
  <si>
    <t xml:space="preserve">Модгуд</t>
  </si>
  <si>
    <t xml:space="preserve">Пропуск 1 этажа (кд 1 час)</t>
  </si>
  <si>
    <t xml:space="preserve">Скирнир</t>
  </si>
  <si>
    <t xml:space="preserve">-20% времени экспедиций</t>
  </si>
  <si>
    <t xml:space="preserve">Ярл Пламени</t>
  </si>
  <si>
    <t xml:space="preserve">костёр T1</t>
  </si>
  <si>
    <t xml:space="preserve">+100% урон, поджог 5 сек</t>
  </si>
  <si>
    <t xml:space="preserve">50 оск + 3 редких</t>
  </si>
  <si>
    <t xml:space="preserve">костёр</t>
  </si>
  <si>
    <t xml:space="preserve">Мать Волков</t>
  </si>
  <si>
    <t xml:space="preserve">Призыв 2 волков (PvE)</t>
  </si>
  <si>
    <t xml:space="preserve">Страж Кургана</t>
  </si>
  <si>
    <t xml:space="preserve">+50% HP команды (PvE)</t>
  </si>
  <si>
    <t xml:space="preserve">Хродвитнир</t>
  </si>
  <si>
    <t xml:space="preserve">костёр T2</t>
  </si>
  <si>
    <t xml:space="preserve">+1% урона навсегда за босса</t>
  </si>
  <si>
    <t xml:space="preserve">200 оск + 2 T1</t>
  </si>
  <si>
    <t xml:space="preserve">костёр 5000+</t>
  </si>
  <si>
    <t xml:space="preserve">Дева Бурь</t>
  </si>
  <si>
    <t xml:space="preserve">Молния по 5 защитникам (PvE)</t>
  </si>
  <si>
    <t xml:space="preserve">Владыка Глубин</t>
  </si>
  <si>
    <t xml:space="preserve">x3 золото на 15 сек</t>
  </si>
  <si>
    <t xml:space="preserve">Аватар Иггдрасиля</t>
  </si>
  <si>
    <t xml:space="preserve">костёр T3</t>
  </si>
  <si>
    <t xml:space="preserve">+2% ко ВСЕМ бонусам за уровень</t>
  </si>
  <si>
    <t xml:space="preserve">1000 оск + 2 T2</t>
  </si>
  <si>
    <t xml:space="preserve">топ костра</t>
  </si>
  <si>
    <t xml:space="preserve">Дитя Рагнарёка</t>
  </si>
  <si>
    <t xml:space="preserve">Раз в бой урон = 10% HP босса</t>
  </si>
  <si>
    <t xml:space="preserve">Последний Эйнхерий</t>
  </si>
  <si>
    <t xml:space="preserve">Бессмертие 30 сек (PvE)</t>
  </si>
  <si>
    <t xml:space="preserve">ЦЕНЫ НЕ-ЗОЛОТЫХ ГЕРОЕВ</t>
  </si>
  <si>
    <t xml:space="preserve">Герой</t>
  </si>
  <si>
    <t xml:space="preserve">Валюта</t>
  </si>
  <si>
    <t xml:space="preserve">Гача-пул (1 пулл)</t>
  </si>
  <si>
    <t xml:space="preserve">Костёр T1 (осколки)</t>
  </si>
  <si>
    <t xml:space="preserve">осколки</t>
  </si>
  <si>
    <t xml:space="preserve">Костёр T2</t>
  </si>
  <si>
    <t xml:space="preserve">Костёр T3</t>
  </si>
  <si>
    <t xml:space="preserve">ГАЧА-ПАК (1000 кристаллов/пулл) — прозрачные шансы</t>
  </si>
  <si>
    <t xml:space="preserve">Редкость</t>
  </si>
  <si>
    <t xml:space="preserve">Шанс</t>
  </si>
  <si>
    <t xml:space="preserve">Пул героев</t>
  </si>
  <si>
    <t xml:space="preserve">Pity</t>
  </si>
  <si>
    <t xml:space="preserve">Редкий</t>
  </si>
  <si>
    <t xml:space="preserve">70%</t>
  </si>
  <si>
    <t xml:space="preserve">Гуллинбурсти, Модгуд, Скирнир</t>
  </si>
  <si>
    <t xml:space="preserve">Эпик</t>
  </si>
  <si>
    <t xml:space="preserve">25%</t>
  </si>
  <si>
    <t xml:space="preserve">Вёлунд, Урд, Верданди, Эгир, Ран</t>
  </si>
  <si>
    <t xml:space="preserve">Легенда</t>
  </si>
  <si>
    <t xml:space="preserve">5%</t>
  </si>
  <si>
    <t xml:space="preserve">Скульд, Свартхёфди</t>
  </si>
  <si>
    <t xml:space="preserve">гарантия на 50-м пулле</t>
  </si>
  <si>
    <t xml:space="preserve">Прозрачные дропрейты — часть честных правил (видны в UI).</t>
  </si>
  <si>
    <t xml:space="preserve">ВЫХОД ОСКОЛКОВ (недельные PvE-боссы)</t>
  </si>
  <si>
    <t xml:space="preserve">shards = floor(baseShards × damageShare × tierMult). damageShare = твой урон / урон клана.</t>
  </si>
  <si>
    <t xml:space="preserve">Босс</t>
  </si>
  <si>
    <t xml:space="preserve">baseShards/нед</t>
  </si>
  <si>
    <t xml:space="preserve">tierMult</t>
  </si>
  <si>
    <t xml:space="preserve">Осколков при 10% вклада</t>
  </si>
  <si>
    <t xml:space="preserve">Скёлль</t>
  </si>
  <si>
    <t xml:space="preserve">Кракен Эгира</t>
  </si>
  <si>
    <t xml:space="preserve">Гарм</t>
  </si>
  <si>
    <t xml:space="preserve">Логи</t>
  </si>
  <si>
    <t xml:space="preserve">Нидхёгг</t>
  </si>
  <si>
    <t xml:space="preserve">Имир</t>
  </si>
  <si>
    <t xml:space="preserve">Хресвельг-старший</t>
  </si>
  <si>
    <t xml:space="preserve">ПИРАМИДА КОСТРА (T2-T3 только на костре 5000+)</t>
  </si>
  <si>
    <t xml:space="preserve">Ступень</t>
  </si>
  <si>
    <t xml:space="preserve">Осколков на 1 героя</t>
  </si>
  <si>
    <t xml:space="preserve">Пояснение</t>
  </si>
  <si>
    <t xml:space="preserve">Крист. герой (база)</t>
  </si>
  <si>
    <t xml:space="preserve">1</t>
  </si>
  <si>
    <t xml:space="preserve">покупка за кристаллы</t>
  </si>
  <si>
    <t xml:space="preserve">Костёр T1</t>
  </si>
  <si>
    <t xml:space="preserve">жжём крист.героев -&gt; осколки</t>
  </si>
  <si>
    <t xml:space="preserve">только улучшенный костёр (5000 ур.)</t>
  </si>
  <si>
    <t xml:space="preserve">Костёр T3 (топ)</t>
  </si>
  <si>
    <t xml:space="preserve">верхушка соло-прогресса</t>
  </si>
  <si>
    <t xml:space="preserve">ВЕХИ-МНОЖИТЕЛИ (у всех героев)</t>
  </si>
  <si>
    <t xml:space="preserve">Веха (ур. героя)</t>
  </si>
  <si>
    <t xml:space="preserve">Эффект</t>
  </si>
  <si>
    <t xml:space="preserve">Множитель</t>
  </si>
  <si>
    <t xml:space="preserve">Примечание</t>
  </si>
  <si>
    <t xml:space="preserve">25 / 50 / 75 / 100</t>
  </si>
  <si>
    <t xml:space="preserve">доп.умение ИЛИ разовый ×5 DPS</t>
  </si>
  <si>
    <t xml:space="preserve">если у героя нет умения на этой вехе</t>
  </si>
  <si>
    <t xml:space="preserve">каждые 500</t>
  </si>
  <si>
    <t xml:space="preserve">×15 DPS</t>
  </si>
  <si>
    <t xml:space="preserve">стакается</t>
  </si>
  <si>
    <t xml:space="preserve">каждые 1000</t>
  </si>
  <si>
    <t xml:space="preserve">×25 DPS</t>
  </si>
  <si>
    <t xml:space="preserve">каждые 1000 (бонус)</t>
  </si>
  <si>
    <t xml:space="preserve">доп ×25 — НЕ-золотым</t>
  </si>
  <si>
    <t xml:space="preserve">Пример: не-золотой герой на ур.1000 = ×15(500-вехи ×2) ... ×25 ×25(бонус) — кратно сильнее золотого. Точный стек тюнится.</t>
  </si>
  <si>
    <t xml:space="preserve">АРТЕФАКТЫ — эффект и кривая цены</t>
  </si>
  <si>
    <t xml:space="preserve">costLevel(n) = base × growth^n (Пепел). Дуэльные — за Короны.</t>
  </si>
  <si>
    <t xml:space="preserve">Артефакт</t>
  </si>
  <si>
    <t xml:space="preserve">Эффект/ур.</t>
  </si>
  <si>
    <t xml:space="preserve">База цены</t>
  </si>
  <si>
    <t xml:space="preserve">Рост цены</t>
  </si>
  <si>
    <t xml:space="preserve">Макс ур.</t>
  </si>
  <si>
    <t xml:space="preserve">Урон за тап</t>
  </si>
  <si>
    <t xml:space="preserve">Пепел</t>
  </si>
  <si>
    <t xml:space="preserve">+10%</t>
  </si>
  <si>
    <t xml:space="preserve">∞</t>
  </si>
  <si>
    <t xml:space="preserve">DPS в секунду</t>
  </si>
  <si>
    <t xml:space="preserve">Цена героев</t>
  </si>
  <si>
    <t xml:space="preserve">−2%</t>
  </si>
  <si>
    <t xml:space="preserve">Золото с монстров</t>
  </si>
  <si>
    <t xml:space="preserve">+8%</t>
  </si>
  <si>
    <t xml:space="preserve">Больше Пепла</t>
  </si>
  <si>
    <t xml:space="preserve">Меньше мобов 10→5</t>
  </si>
  <si>
    <t xml:space="preserve">−1 моб</t>
  </si>
  <si>
    <t xml:space="preserve">Старт-ур. ребёрта</t>
  </si>
  <si>
    <t xml:space="preserve">+1000 ур.</t>
  </si>
  <si>
    <t xml:space="preserve">Дуэль: +HP</t>
  </si>
  <si>
    <t xml:space="preserve">Короны</t>
  </si>
  <si>
    <t xml:space="preserve">Дуэль: +крит</t>
  </si>
  <si>
    <t xml:space="preserve">+3%</t>
  </si>
  <si>
    <t xml:space="preserve">Дуэль: +броня</t>
  </si>
  <si>
    <t xml:space="preserve">Дуэль: +регенерация</t>
  </si>
  <si>
    <t xml:space="preserve">ШАХТЫ — открытие и добыча</t>
  </si>
  <si>
    <t xml:space="preserve">Шахта</t>
  </si>
  <si>
    <t xml:space="preserve">Открытие (ур.)</t>
  </si>
  <si>
    <t xml:space="preserve">Кристаллов/час</t>
  </si>
  <si>
    <t xml:space="preserve">Занято героев</t>
  </si>
  <si>
    <t xml:space="preserve">Шахта 1</t>
  </si>
  <si>
    <t xml:space="preserve">Шахта 2</t>
  </si>
  <si>
    <t xml:space="preserve">Шахта 3</t>
  </si>
  <si>
    <t xml:space="preserve">Шахта 4</t>
  </si>
  <si>
    <t xml:space="preserve">Слот редкости: герой раз в 24ч растит редкость, −50% силы пока внутри. VIP3 даёт +1 слот шахты.</t>
  </si>
  <si>
    <t xml:space="preserve">ЯБЛОКИ ИДУНН — стоимость действий</t>
  </si>
  <si>
    <t xml:space="preserve">Действие</t>
  </si>
  <si>
    <t xml:space="preserve">Цена (Яблоки)</t>
  </si>
  <si>
    <t xml:space="preserve">Воскрешение 3 героев</t>
  </si>
  <si>
    <t xml:space="preserve">мгновенно вернуть убитых боссом</t>
  </si>
  <si>
    <t xml:space="preserve">Сброс КД дуэлей</t>
  </si>
  <si>
    <t xml:space="preserve">снова 5 дуэлей</t>
  </si>
  <si>
    <t xml:space="preserve">Сброс КД умений</t>
  </si>
  <si>
    <t xml:space="preserve">обнулить кулдауны скиллов</t>
  </si>
  <si>
    <t xml:space="preserve">Сброс КД ежедн. заданий</t>
  </si>
  <si>
    <t xml:space="preserve">повторить дейлики</t>
  </si>
  <si>
    <t xml:space="preserve">Сброс КД дневного босса</t>
  </si>
  <si>
    <t xml:space="preserve">растёт ×2.5 за сброс (см. Параметры)</t>
  </si>
  <si>
    <t xml:space="preserve">Путешествие 5 ч</t>
  </si>
  <si>
    <t xml:space="preserve">мгновенный оффлайн-доход за 5ч</t>
  </si>
  <si>
    <t xml:space="preserve">Путешествие 50 ч</t>
  </si>
  <si>
    <t xml:space="preserve">мгновенный оффлайн-доход за 50ч</t>
  </si>
  <si>
    <t xml:space="preserve">Золото за 5 ч</t>
  </si>
  <si>
    <t xml:space="preserve">выдать золото как за 5ч фарма</t>
  </si>
  <si>
    <t xml:space="preserve">Золото за 50 ч</t>
  </si>
  <si>
    <t xml:space="preserve">как за 50ч</t>
  </si>
  <si>
    <t xml:space="preserve">×2 DPS на 5 ч</t>
  </si>
  <si>
    <t xml:space="preserve">буст урона</t>
  </si>
  <si>
    <t xml:space="preserve">×2 DPS на 50 ч</t>
  </si>
  <si>
    <t xml:space="preserve">Пак героев</t>
  </si>
  <si>
    <t xml:space="preserve">шанс редкого/донат-героя</t>
  </si>
  <si>
    <t xml:space="preserve">ПАНТЕОН — 10 богов: тир, доступ, цена, родословная</t>
  </si>
  <si>
    <t xml:space="preserve">Бог</t>
  </si>
  <si>
    <t xml:space="preserve">Тир ⭐</t>
  </si>
  <si>
    <t xml:space="preserve">Ступень доступа</t>
  </si>
  <si>
    <t xml:space="preserve">Цена (Слёзы)</t>
  </si>
  <si>
    <t xml:space="preserve">Цена ($)</t>
  </si>
  <si>
    <t xml:space="preserve">Родитель (порядок)</t>
  </si>
  <si>
    <t xml:space="preserve">Ниша</t>
  </si>
  <si>
    <t xml:space="preserve">Локи</t>
  </si>
  <si>
    <t xml:space="preserve">⭐⭐⭐⭐</t>
  </si>
  <si>
    <t xml:space="preserve">костёр + Слёзы</t>
  </si>
  <si>
    <t xml:space="preserve">анти-босс дебафф / прародитель</t>
  </si>
  <si>
    <t xml:space="preserve">Хель</t>
  </si>
  <si>
    <t xml:space="preserve">контроль / замедление</t>
  </si>
  <si>
    <t xml:space="preserve">Бальдр</t>
  </si>
  <si>
    <t xml:space="preserve">саппорт / защита</t>
  </si>
  <si>
    <t xml:space="preserve">Хеймдалль</t>
  </si>
  <si>
    <t xml:space="preserve">⭐⭐⭐⭐⭐</t>
  </si>
  <si>
    <t xml:space="preserve">костёр T2+ / Слёзы</t>
  </si>
  <si>
    <t xml:space="preserve">страж / анти-щит</t>
  </si>
  <si>
    <t xml:space="preserve">Тюр</t>
  </si>
  <si>
    <t xml:space="preserve">пробитие брони</t>
  </si>
  <si>
    <t xml:space="preserve">Ёрмунганд</t>
  </si>
  <si>
    <t xml:space="preserve">разрушение крепостей</t>
  </si>
  <si>
    <t xml:space="preserve">Фенрир</t>
  </si>
  <si>
    <t xml:space="preserve">⭐⭐⭐⭐⭐⭐</t>
  </si>
  <si>
    <t xml:space="preserve">донат</t>
  </si>
  <si>
    <t xml:space="preserve">лучший против боссов</t>
  </si>
  <si>
    <t xml:space="preserve">Тор</t>
  </si>
  <si>
    <t xml:space="preserve">Один</t>
  </si>
  <si>
    <t xml:space="preserve">главный постоянный DPS</t>
  </si>
  <si>
    <t xml:space="preserve">Сурт</t>
  </si>
  <si>
    <t xml:space="preserve">⭐⭐⭐⭐⭐⭐⭐</t>
  </si>
  <si>
    <t xml:space="preserve">массовый урон</t>
  </si>
  <si>
    <t xml:space="preserve">⭐⭐⭐⭐⭐⭐⭐⭐</t>
  </si>
  <si>
    <t xml:space="preserve">Тор+Бальдр</t>
  </si>
  <si>
    <t xml:space="preserve">универсал-лидер, усиливает состав</t>
  </si>
  <si>
    <t xml:space="preserve">Жёлтый = 5⭐ (дорогой костёр). Оранжевый = 6-8⭐ (донат-витрина). Цена $ считается из Параметров.</t>
  </si>
  <si>
    <t xml:space="preserve">ФРИ-ФАРМ СЛЁЗ (очень строгий: 2/нед)</t>
  </si>
  <si>
    <t xml:space="preserve">Показатель</t>
  </si>
  <si>
    <t xml:space="preserve">Значение</t>
  </si>
  <si>
    <t xml:space="preserve">Ед.</t>
  </si>
  <si>
    <t xml:space="preserve">Фарм Слёз в неделю (потолок)</t>
  </si>
  <si>
    <t xml:space="preserve">/нед</t>
  </si>
  <si>
    <t xml:space="preserve">Дешёвый бог (4⭐)</t>
  </si>
  <si>
    <t xml:space="preserve">Слёз</t>
  </si>
  <si>
    <t xml:space="preserve">Недель на 4⭐ бога</t>
  </si>
  <si>
    <t xml:space="preserve">нед</t>
  </si>
  <si>
    <t xml:space="preserve">Один (топ)</t>
  </si>
  <si>
    <t xml:space="preserve">Недель на Одина</t>
  </si>
  <si>
    <t xml:space="preserve">Лет на Одина (фри)</t>
  </si>
  <si>
    <t xml:space="preserve">лет</t>
  </si>
  <si>
    <t xml:space="preserve">Купленный</t>
  </si>
  <si>
    <t xml:space="preserve">мгновенно</t>
  </si>
  <si>
    <t xml:space="preserve">СЛЁЗЫ ФРЕЙИ — донат-валюта</t>
  </si>
  <si>
    <t xml:space="preserve">Цена 1 Слезы</t>
  </si>
  <si>
    <t xml:space="preserve">$</t>
  </si>
  <si>
    <t xml:space="preserve">Дешёвый бог</t>
  </si>
  <si>
    <t xml:space="preserve">Дорогой бог</t>
  </si>
  <si>
    <t xml:space="preserve">Опт-скидка (макс)</t>
  </si>
  <si>
    <t xml:space="preserve">%</t>
  </si>
  <si>
    <t xml:space="preserve">Дорогой бог со скидкой</t>
  </si>
  <si>
    <t xml:space="preserve">ПАКИ И ЦЕНЫ</t>
  </si>
  <si>
    <t xml:space="preserve">SKU</t>
  </si>
  <si>
    <t xml:space="preserve">Содержимое</t>
  </si>
  <si>
    <t xml:space="preserve">Цена $</t>
  </si>
  <si>
    <t xml:space="preserve">Скидка</t>
  </si>
  <si>
    <t xml:space="preserve">tears_1</t>
  </si>
  <si>
    <t xml:space="preserve">1 Слеза Фрейи</t>
  </si>
  <si>
    <t xml:space="preserve">$10</t>
  </si>
  <si>
    <t xml:space="preserve">tears_5</t>
  </si>
  <si>
    <t xml:space="preserve">5 Слёз</t>
  </si>
  <si>
    <t xml:space="preserve">$45</t>
  </si>
  <si>
    <t xml:space="preserve">−10%</t>
  </si>
  <si>
    <t xml:space="preserve">tears_15</t>
  </si>
  <si>
    <t xml:space="preserve">15 Слёз</t>
  </si>
  <si>
    <t xml:space="preserve">$120</t>
  </si>
  <si>
    <t xml:space="preserve">−20%</t>
  </si>
  <si>
    <t xml:space="preserve">tears_60</t>
  </si>
  <si>
    <t xml:space="preserve">60 Слёз</t>
  </si>
  <si>
    <t xml:space="preserve">$450</t>
  </si>
  <si>
    <t xml:space="preserve">−25%</t>
  </si>
  <si>
    <t xml:space="preserve">vip</t>
  </si>
  <si>
    <t xml:space="preserve">VIP (5 ур., разово)</t>
  </si>
  <si>
    <t xml:space="preserve">$50</t>
  </si>
  <si>
    <t xml:space="preserve">season_pass</t>
  </si>
  <si>
    <t xml:space="preserve">Сезон-пропуск</t>
  </si>
  <si>
    <t xml:space="preserve">starter</t>
  </si>
  <si>
    <t xml:space="preserve">Стартовый бандл (разово)</t>
  </si>
  <si>
    <t xml:space="preserve">$5</t>
  </si>
  <si>
    <t xml:space="preserve">high value</t>
  </si>
  <si>
    <t xml:space="preserve">crystals_pack</t>
  </si>
  <si>
    <t xml:space="preserve">Пак кристаллов</t>
  </si>
  <si>
    <t xml:space="preserve">apples_pack</t>
  </si>
  <si>
    <t xml:space="preserve">Пак Яблок</t>
  </si>
  <si>
    <t xml:space="preserve">VIP — 5 уровней (1 покупка)</t>
  </si>
  <si>
    <t xml:space="preserve">Ур.</t>
  </si>
  <si>
    <t xml:space="preserve">Яблок/нед.</t>
  </si>
  <si>
    <t xml:space="preserve">+Золото</t>
  </si>
  <si>
    <t xml:space="preserve">+Пепел</t>
  </si>
  <si>
    <t xml:space="preserve">Прочее</t>
  </si>
  <si>
    <t xml:space="preserve">авто-сбор оффлайна</t>
  </si>
  <si>
    <t xml:space="preserve">10%</t>
  </si>
  <si>
    <t xml:space="preserve">+потолок оффлайна</t>
  </si>
  <si>
    <t xml:space="preserve">15%</t>
  </si>
  <si>
    <t xml:space="preserve">+1 слот шахты</t>
  </si>
  <si>
    <t xml:space="preserve">20%</t>
  </si>
  <si>
    <t xml:space="preserve">-20% цена сброса дневного босса</t>
  </si>
  <si>
    <t xml:space="preserve">30%</t>
  </si>
  <si>
    <t xml:space="preserve">все бонусы + уник. рамка</t>
  </si>
  <si>
    <t xml:space="preserve">МИРОВЫЕ PvE-БОССЫ — 1 НЕДЕЛЯ на босса (7-недельный цикл)</t>
  </si>
  <si>
    <t xml:space="preserve">Неделя цикла</t>
  </si>
  <si>
    <t xml:space="preserve">Заменил</t>
  </si>
  <si>
    <t xml:space="preserve">Защитники</t>
  </si>
  <si>
    <t xml:space="preserve">Награда</t>
  </si>
  <si>
    <t xml:space="preserve">Окно</t>
  </si>
  <si>
    <t xml:space="preserve">Неделя 1</t>
  </si>
  <si>
    <t xml:space="preserve">Фенрира</t>
  </si>
  <si>
    <t xml:space="preserve">волчья стая</t>
  </si>
  <si>
    <t xml:space="preserve">7 дней, клан вместе</t>
  </si>
  <si>
    <t xml:space="preserve">Неделя 2</t>
  </si>
  <si>
    <t xml:space="preserve">Ёрмунганда</t>
  </si>
  <si>
    <t xml:space="preserve">морские твари</t>
  </si>
  <si>
    <t xml:space="preserve">7 дней</t>
  </si>
  <si>
    <t xml:space="preserve">Неделя 3</t>
  </si>
  <si>
    <t xml:space="preserve">стражи Гнипахеллира</t>
  </si>
  <si>
    <t xml:space="preserve">Неделя 4</t>
  </si>
  <si>
    <t xml:space="preserve">Сурта</t>
  </si>
  <si>
    <t xml:space="preserve">искровые духи</t>
  </si>
  <si>
    <t xml:space="preserve">Неделя 5</t>
  </si>
  <si>
    <t xml:space="preserve">змеи корней</t>
  </si>
  <si>
    <t xml:space="preserve">Неделя 6</t>
  </si>
  <si>
    <t xml:space="preserve">хримтурсы</t>
  </si>
  <si>
    <t xml:space="preserve">Неделя 7</t>
  </si>
  <si>
    <t xml:space="preserve">ветряные духи</t>
  </si>
  <si>
    <t xml:space="preserve">7 дней, затем цикл</t>
  </si>
  <si>
    <t xml:space="preserve">1 босс = 1 неделя (не день). Клан всю неделю валит одного мирового босса. Награда — только осколки/ресурсы, НЕ боги.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</si>
</sst>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3"/>
      <color rgb="FF1F386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E7E6E6"/>
      </patternFill>
    </fill>
    <fill>
      <patternFill patternType="solid">
        <fgColor rgb="FFD9E1F2"/>
        <bgColor rgb="FFE7E6E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3"/>
    <col collapsed="false" customWidth="true" hidden="false" outlineLevel="0" max="3" min="3" style="1" width="5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  <c r="C4" s="5"/>
    </row>
    <row r="5" customFormat="false" ht="15" hidden="false" customHeight="true" outlineLevel="0" collapsed="false">
      <c r="A5" s="6" t="s">
        <v>3</v>
      </c>
      <c r="B5" s="7" t="n">
        <v>10</v>
      </c>
      <c r="C5" s="8" t="s">
        <v>4</v>
      </c>
    </row>
    <row r="6" customFormat="false" ht="15" hidden="false" customHeight="true" outlineLevel="0" collapsed="false">
      <c r="A6" s="6" t="s">
        <v>5</v>
      </c>
      <c r="B6" s="7" t="n">
        <v>1.006</v>
      </c>
      <c r="C6" s="8" t="s">
        <v>6</v>
      </c>
    </row>
    <row r="7" customFormat="false" ht="15" hidden="false" customHeight="true" outlineLevel="0" collapsed="false">
      <c r="A7" s="6" t="s">
        <v>7</v>
      </c>
      <c r="B7" s="7" t="n">
        <v>1.01</v>
      </c>
      <c r="C7" s="8" t="s">
        <v>8</v>
      </c>
    </row>
    <row r="8" customFormat="false" ht="15" hidden="false" customHeight="true" outlineLevel="0" collapsed="false">
      <c r="A8" s="6" t="s">
        <v>9</v>
      </c>
      <c r="B8" s="7" t="n">
        <v>1.02</v>
      </c>
      <c r="C8" s="8" t="s">
        <v>10</v>
      </c>
    </row>
    <row r="9" customFormat="false" ht="15" hidden="false" customHeight="true" outlineLevel="0" collapsed="false">
      <c r="A9" s="6" t="s">
        <v>11</v>
      </c>
      <c r="B9" s="7" t="n">
        <v>1.05</v>
      </c>
      <c r="C9" s="8" t="s">
        <v>12</v>
      </c>
    </row>
    <row r="10" customFormat="false" ht="15" hidden="false" customHeight="true" outlineLevel="0" collapsed="false">
      <c r="A10" s="6" t="s">
        <v>13</v>
      </c>
      <c r="B10" s="7" t="n">
        <v>10</v>
      </c>
      <c r="C10" s="8" t="s">
        <v>14</v>
      </c>
    </row>
    <row r="11" customFormat="false" ht="15" hidden="false" customHeight="true" outlineLevel="0" collapsed="false">
      <c r="A11" s="6" t="s">
        <v>15</v>
      </c>
      <c r="B11" s="7" t="n">
        <v>25</v>
      </c>
      <c r="C11" s="8"/>
    </row>
    <row r="12" customFormat="false" ht="15" hidden="false" customHeight="true" outlineLevel="0" collapsed="false">
      <c r="A12" s="6" t="s">
        <v>16</v>
      </c>
      <c r="B12" s="7" t="n">
        <v>1000</v>
      </c>
      <c r="C12" s="8"/>
    </row>
    <row r="13" customFormat="false" ht="15" hidden="false" customHeight="true" outlineLevel="0" collapsed="false">
      <c r="A13" s="4" t="s">
        <v>17</v>
      </c>
      <c r="B13" s="5"/>
      <c r="C13" s="5"/>
    </row>
    <row r="14" customFormat="false" ht="15" hidden="false" customHeight="true" outlineLevel="0" collapsed="false">
      <c r="A14" s="6" t="s">
        <v>18</v>
      </c>
      <c r="B14" s="7" t="n">
        <v>5</v>
      </c>
      <c r="C14" s="8"/>
    </row>
    <row r="15" customFormat="false" ht="15" hidden="false" customHeight="true" outlineLevel="0" collapsed="false">
      <c r="A15" s="6" t="s">
        <v>19</v>
      </c>
      <c r="B15" s="7" t="n">
        <v>0.97</v>
      </c>
      <c r="C15" s="8" t="s">
        <v>20</v>
      </c>
    </row>
    <row r="16" customFormat="false" ht="15" hidden="false" customHeight="true" outlineLevel="0" collapsed="false">
      <c r="A16" s="4" t="s">
        <v>21</v>
      </c>
      <c r="B16" s="5"/>
      <c r="C16" s="5"/>
    </row>
    <row r="17" customFormat="false" ht="15" hidden="false" customHeight="true" outlineLevel="0" collapsed="false">
      <c r="A17" s="6" t="s">
        <v>22</v>
      </c>
      <c r="B17" s="7" t="n">
        <v>3</v>
      </c>
      <c r="C17" s="8"/>
    </row>
    <row r="18" customFormat="false" ht="15" hidden="false" customHeight="true" outlineLevel="0" collapsed="false">
      <c r="A18" s="6" t="s">
        <v>23</v>
      </c>
      <c r="B18" s="7" t="n">
        <v>2</v>
      </c>
      <c r="C18" s="8"/>
    </row>
    <row r="19" customFormat="false" ht="15" hidden="false" customHeight="true" outlineLevel="0" collapsed="false">
      <c r="A19" s="6" t="s">
        <v>24</v>
      </c>
      <c r="B19" s="7" t="n">
        <v>1.08</v>
      </c>
      <c r="C19" s="8" t="s">
        <v>25</v>
      </c>
    </row>
    <row r="20" customFormat="false" ht="15" hidden="false" customHeight="true" outlineLevel="0" collapsed="false">
      <c r="A20" s="6" t="s">
        <v>26</v>
      </c>
      <c r="B20" s="7" t="n">
        <v>5</v>
      </c>
      <c r="C20" s="8" t="s">
        <v>27</v>
      </c>
    </row>
    <row r="21" customFormat="false" ht="15" hidden="false" customHeight="true" outlineLevel="0" collapsed="false">
      <c r="A21" s="6" t="s">
        <v>28</v>
      </c>
      <c r="B21" s="7" t="n">
        <v>15</v>
      </c>
      <c r="C21" s="8"/>
    </row>
    <row r="22" customFormat="false" ht="15" hidden="false" customHeight="true" outlineLevel="0" collapsed="false">
      <c r="A22" s="6" t="s">
        <v>29</v>
      </c>
      <c r="B22" s="7" t="n">
        <v>25</v>
      </c>
      <c r="C22" s="8"/>
    </row>
    <row r="23" customFormat="false" ht="15" hidden="false" customHeight="true" outlineLevel="0" collapsed="false">
      <c r="A23" s="6" t="s">
        <v>30</v>
      </c>
      <c r="B23" s="7" t="n">
        <v>25</v>
      </c>
      <c r="C23" s="8" t="s">
        <v>31</v>
      </c>
    </row>
    <row r="24" customFormat="false" ht="15" hidden="false" customHeight="true" outlineLevel="0" collapsed="false">
      <c r="A24" s="6" t="s">
        <v>32</v>
      </c>
      <c r="B24" s="7" t="n">
        <v>0.2</v>
      </c>
      <c r="C24" s="8" t="s">
        <v>33</v>
      </c>
    </row>
    <row r="25" customFormat="false" ht="15" hidden="false" customHeight="true" outlineLevel="0" collapsed="false">
      <c r="A25" s="6" t="s">
        <v>34</v>
      </c>
      <c r="B25" s="7" t="n">
        <v>3</v>
      </c>
      <c r="C25" s="8"/>
    </row>
    <row r="26" customFormat="false" ht="15" hidden="false" customHeight="true" outlineLevel="0" collapsed="false">
      <c r="A26" s="4" t="s">
        <v>35</v>
      </c>
      <c r="B26" s="5"/>
      <c r="C26" s="5"/>
    </row>
    <row r="27" customFormat="false" ht="15" hidden="false" customHeight="true" outlineLevel="0" collapsed="false">
      <c r="A27" s="6" t="s">
        <v>36</v>
      </c>
      <c r="B27" s="7" t="n">
        <v>0.003</v>
      </c>
      <c r="C27" s="8" t="s">
        <v>37</v>
      </c>
    </row>
    <row r="28" customFormat="false" ht="15" hidden="false" customHeight="true" outlineLevel="0" collapsed="false">
      <c r="A28" s="6" t="s">
        <v>38</v>
      </c>
      <c r="B28" s="7" t="n">
        <v>5000</v>
      </c>
      <c r="C28" s="8" t="s">
        <v>39</v>
      </c>
    </row>
    <row r="29" customFormat="false" ht="15" hidden="false" customHeight="true" outlineLevel="0" collapsed="false">
      <c r="A29" s="4" t="s">
        <v>40</v>
      </c>
      <c r="B29" s="5"/>
      <c r="C29" s="5"/>
    </row>
    <row r="30" customFormat="false" ht="15" hidden="false" customHeight="true" outlineLevel="0" collapsed="false">
      <c r="A30" s="6" t="s">
        <v>41</v>
      </c>
      <c r="B30" s="7" t="n">
        <v>50</v>
      </c>
      <c r="C30" s="8"/>
    </row>
    <row r="31" customFormat="false" ht="15" hidden="false" customHeight="true" outlineLevel="0" collapsed="false">
      <c r="A31" s="6" t="s">
        <v>42</v>
      </c>
      <c r="B31" s="7" t="n">
        <v>12</v>
      </c>
      <c r="C31" s="8"/>
    </row>
    <row r="32" customFormat="false" ht="15" hidden="false" customHeight="true" outlineLevel="0" collapsed="false">
      <c r="A32" s="6" t="s">
        <v>43</v>
      </c>
      <c r="B32" s="7" t="n">
        <v>1.07</v>
      </c>
      <c r="C32" s="8"/>
    </row>
    <row r="33" customFormat="false" ht="15" hidden="false" customHeight="true" outlineLevel="0" collapsed="false">
      <c r="A33" s="4" t="s">
        <v>44</v>
      </c>
      <c r="B33" s="5"/>
      <c r="C33" s="5"/>
    </row>
    <row r="34" customFormat="false" ht="15" hidden="false" customHeight="true" outlineLevel="0" collapsed="false">
      <c r="A34" s="6" t="s">
        <v>45</v>
      </c>
      <c r="B34" s="7" t="n">
        <v>100</v>
      </c>
      <c r="C34" s="8"/>
    </row>
    <row r="35" customFormat="false" ht="15" hidden="false" customHeight="true" outlineLevel="0" collapsed="false">
      <c r="A35" s="6" t="s">
        <v>46</v>
      </c>
      <c r="B35" s="7" t="n">
        <v>1000</v>
      </c>
      <c r="C35" s="8"/>
    </row>
    <row r="36" customFormat="false" ht="15" hidden="false" customHeight="true" outlineLevel="0" collapsed="false">
      <c r="A36" s="6" t="s">
        <v>47</v>
      </c>
      <c r="B36" s="7" t="n">
        <v>3000</v>
      </c>
      <c r="C36" s="8"/>
    </row>
    <row r="37" customFormat="false" ht="15" hidden="false" customHeight="true" outlineLevel="0" collapsed="false">
      <c r="A37" s="6" t="s">
        <v>48</v>
      </c>
      <c r="B37" s="7" t="n">
        <v>3</v>
      </c>
      <c r="C37" s="8"/>
    </row>
    <row r="38" customFormat="false" ht="15" hidden="false" customHeight="true" outlineLevel="0" collapsed="false">
      <c r="A38" s="4" t="s">
        <v>49</v>
      </c>
      <c r="B38" s="5"/>
      <c r="C38" s="5"/>
    </row>
    <row r="39" customFormat="false" ht="15" hidden="false" customHeight="true" outlineLevel="0" collapsed="false">
      <c r="A39" s="6" t="s">
        <v>50</v>
      </c>
      <c r="B39" s="7" t="n">
        <v>50</v>
      </c>
      <c r="C39" s="8" t="s">
        <v>51</v>
      </c>
    </row>
    <row r="40" customFormat="false" ht="15" hidden="false" customHeight="true" outlineLevel="0" collapsed="false">
      <c r="A40" s="6" t="s">
        <v>52</v>
      </c>
      <c r="B40" s="7" t="n">
        <v>0.05</v>
      </c>
      <c r="C40" s="8" t="s">
        <v>53</v>
      </c>
    </row>
    <row r="41" customFormat="false" ht="15" hidden="false" customHeight="true" outlineLevel="0" collapsed="false">
      <c r="A41" s="6" t="s">
        <v>54</v>
      </c>
      <c r="B41" s="7" t="n">
        <v>0.6</v>
      </c>
      <c r="C41" s="8" t="s">
        <v>55</v>
      </c>
    </row>
    <row r="42" customFormat="false" ht="15" hidden="false" customHeight="true" outlineLevel="0" collapsed="false">
      <c r="A42" s="4" t="s">
        <v>56</v>
      </c>
      <c r="B42" s="5"/>
      <c r="C42" s="5"/>
    </row>
    <row r="43" customFormat="false" ht="15" hidden="false" customHeight="true" outlineLevel="0" collapsed="false">
      <c r="A43" s="6" t="s">
        <v>57</v>
      </c>
      <c r="B43" s="7" t="n">
        <v>50</v>
      </c>
      <c r="C43" s="8"/>
    </row>
    <row r="44" customFormat="false" ht="15" hidden="false" customHeight="true" outlineLevel="0" collapsed="false">
      <c r="A44" s="6" t="s">
        <v>58</v>
      </c>
      <c r="B44" s="7" t="n">
        <v>2.5</v>
      </c>
      <c r="C44" s="8" t="s">
        <v>59</v>
      </c>
    </row>
    <row r="45" customFormat="false" ht="15" hidden="false" customHeight="true" outlineLevel="0" collapsed="false">
      <c r="A45" s="6" t="s">
        <v>60</v>
      </c>
      <c r="B45" s="7" t="n">
        <v>1.5</v>
      </c>
      <c r="C45" s="8" t="s">
        <v>61</v>
      </c>
    </row>
    <row r="46" customFormat="false" ht="15" hidden="false" customHeight="true" outlineLevel="0" collapsed="false">
      <c r="A46" s="4" t="s">
        <v>62</v>
      </c>
      <c r="B46" s="5"/>
      <c r="C46" s="5"/>
    </row>
    <row r="47" customFormat="false" ht="15" hidden="false" customHeight="true" outlineLevel="0" collapsed="false">
      <c r="A47" s="6" t="s">
        <v>63</v>
      </c>
      <c r="B47" s="7" t="n">
        <v>5</v>
      </c>
      <c r="C47" s="8"/>
    </row>
    <row r="48" customFormat="false" ht="15" hidden="false" customHeight="true" outlineLevel="0" collapsed="false">
      <c r="A48" s="6" t="s">
        <v>64</v>
      </c>
      <c r="B48" s="7" t="n">
        <v>12</v>
      </c>
      <c r="C48" s="8"/>
    </row>
    <row r="49" customFormat="false" ht="15" hidden="false" customHeight="true" outlineLevel="0" collapsed="false">
      <c r="A49" s="6" t="s">
        <v>65</v>
      </c>
      <c r="B49" s="7" t="n">
        <v>0.1</v>
      </c>
      <c r="C49" s="8"/>
    </row>
    <row r="50" customFormat="false" ht="15" hidden="false" customHeight="true" outlineLevel="0" collapsed="false">
      <c r="A50" s="6" t="s">
        <v>66</v>
      </c>
      <c r="B50" s="7" t="n">
        <v>100</v>
      </c>
      <c r="C50" s="8" t="s">
        <v>67</v>
      </c>
    </row>
    <row r="51" customFormat="false" ht="15" hidden="false" customHeight="true" outlineLevel="0" collapsed="false">
      <c r="A51" s="4" t="s">
        <v>68</v>
      </c>
      <c r="B51" s="5"/>
      <c r="C51" s="5"/>
    </row>
    <row r="52" customFormat="false" ht="15" hidden="false" customHeight="true" outlineLevel="0" collapsed="false">
      <c r="A52" s="6" t="s">
        <v>69</v>
      </c>
      <c r="B52" s="7" t="n">
        <v>10</v>
      </c>
      <c r="C52" s="8" t="s">
        <v>70</v>
      </c>
    </row>
    <row r="53" customFormat="false" ht="15" hidden="false" customHeight="true" outlineLevel="0" collapsed="false">
      <c r="A53" s="6" t="s">
        <v>71</v>
      </c>
      <c r="B53" s="7" t="n">
        <v>0.25</v>
      </c>
      <c r="C53" s="8" t="s">
        <v>72</v>
      </c>
    </row>
    <row r="54" customFormat="false" ht="15" hidden="false" customHeight="true" outlineLevel="0" collapsed="false">
      <c r="A54" s="6" t="s">
        <v>73</v>
      </c>
      <c r="B54" s="7" t="n">
        <v>1</v>
      </c>
      <c r="C54" s="8"/>
    </row>
    <row r="55" customFormat="false" ht="15" hidden="false" customHeight="true" outlineLevel="0" collapsed="false">
      <c r="A55" s="6" t="s">
        <v>74</v>
      </c>
      <c r="B55" s="7" t="n">
        <v>500</v>
      </c>
      <c r="C55" s="8"/>
    </row>
    <row r="56" customFormat="false" ht="15" hidden="false" customHeight="true" outlineLevel="0" collapsed="false">
      <c r="A56" s="6" t="s">
        <v>75</v>
      </c>
      <c r="B56" s="7" t="n">
        <v>1</v>
      </c>
      <c r="C56" s="8" t="s">
        <v>76</v>
      </c>
    </row>
    <row r="57" customFormat="false" ht="15" hidden="false" customHeight="true" outlineLevel="0" collapsed="false">
      <c r="A57" s="4" t="s">
        <v>77</v>
      </c>
      <c r="B57" s="5"/>
      <c r="C57" s="5"/>
    </row>
    <row r="58" customFormat="false" ht="15" hidden="false" customHeight="true" outlineLevel="0" collapsed="false">
      <c r="A58" s="6" t="s">
        <v>78</v>
      </c>
      <c r="B58" s="7" t="n">
        <v>300</v>
      </c>
      <c r="C58" s="8" t="s">
        <v>79</v>
      </c>
    </row>
    <row r="59" customFormat="false" ht="15" hidden="false" customHeight="true" outlineLevel="0" collapsed="false">
      <c r="A59" s="6" t="s">
        <v>80</v>
      </c>
      <c r="B59" s="7" t="n">
        <v>1</v>
      </c>
      <c r="C59" s="8" t="s">
        <v>81</v>
      </c>
    </row>
    <row r="60" customFormat="false" ht="15" hidden="false" customHeight="true" outlineLevel="0" collapsed="false">
      <c r="A60" s="6" t="s">
        <v>82</v>
      </c>
      <c r="B60" s="7" t="n">
        <v>4</v>
      </c>
      <c r="C60" s="8"/>
    </row>
    <row r="61" customFormat="false" ht="15" hidden="false" customHeight="true" outlineLevel="0" collapsed="false">
      <c r="A61" s="4" t="s">
        <v>83</v>
      </c>
      <c r="B61" s="5"/>
      <c r="C61" s="5"/>
    </row>
    <row r="62" customFormat="false" ht="15" hidden="false" customHeight="true" outlineLevel="0" collapsed="false">
      <c r="A62" s="6" t="s">
        <v>84</v>
      </c>
      <c r="B62" s="7" t="n">
        <v>400</v>
      </c>
      <c r="C6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16"/>
    <col collapsed="false" customWidth="true" hidden="false" outlineLevel="0" max="5" min="5" style="1" width="40"/>
  </cols>
  <sheetData>
    <row r="1" customFormat="false" ht="17.25" hidden="false" customHeight="true" outlineLevel="0" collapsed="false">
      <c r="A1" s="2" t="s">
        <v>85</v>
      </c>
    </row>
    <row r="2" customFormat="false" ht="15" hidden="false" customHeight="true" outlineLevel="0" collapsed="false">
      <c r="A2" s="3" t="s">
        <v>86</v>
      </c>
    </row>
    <row r="4" customFormat="false" ht="15" hidden="false" customHeight="true" outlineLevel="0" collapsed="false">
      <c r="A4" s="9" t="s">
        <v>87</v>
      </c>
      <c r="B4" s="9" t="s">
        <v>88</v>
      </c>
      <c r="C4" s="9" t="s">
        <v>89</v>
      </c>
      <c r="D4" s="9" t="s">
        <v>90</v>
      </c>
      <c r="E4" s="9" t="s">
        <v>91</v>
      </c>
    </row>
    <row r="5" customFormat="false" ht="15" hidden="false" customHeight="true" outlineLevel="0" collapsed="false">
      <c r="A5" s="10" t="n">
        <v>1</v>
      </c>
      <c r="B5" s="11" t="n">
        <v>1</v>
      </c>
      <c r="C5" s="11" t="s">
        <v>92</v>
      </c>
      <c r="D5" s="11" t="s">
        <v>93</v>
      </c>
      <c r="E5" s="12" t="s">
        <v>94</v>
      </c>
    </row>
    <row r="6" customFormat="false" ht="15" hidden="false" customHeight="true" outlineLevel="0" collapsed="false">
      <c r="A6" s="10" t="n">
        <v>1000</v>
      </c>
      <c r="B6" s="11" t="n">
        <v>3.6</v>
      </c>
      <c r="C6" s="11" t="s">
        <v>95</v>
      </c>
      <c r="D6" s="11" t="s">
        <v>93</v>
      </c>
      <c r="E6" s="12" t="s">
        <v>96</v>
      </c>
    </row>
    <row r="7" customFormat="false" ht="15" hidden="false" customHeight="true" outlineLevel="0" collapsed="false">
      <c r="A7" s="10" t="n">
        <v>5000</v>
      </c>
      <c r="B7" s="11" t="n">
        <v>14</v>
      </c>
      <c r="C7" s="11" t="s">
        <v>97</v>
      </c>
      <c r="D7" s="11" t="s">
        <v>93</v>
      </c>
      <c r="E7" s="12" t="s">
        <v>96</v>
      </c>
    </row>
    <row r="8" customFormat="false" ht="15" hidden="false" customHeight="true" outlineLevel="0" collapsed="false">
      <c r="A8" s="10" t="n">
        <v>10000</v>
      </c>
      <c r="B8" s="11" t="n">
        <v>27</v>
      </c>
      <c r="C8" s="11" t="s">
        <v>98</v>
      </c>
      <c r="D8" s="11" t="s">
        <v>93</v>
      </c>
      <c r="E8" s="12" t="s">
        <v>96</v>
      </c>
    </row>
    <row r="9" customFormat="false" ht="15" hidden="false" customHeight="true" outlineLevel="0" collapsed="false">
      <c r="A9" s="10" t="n">
        <v>15000</v>
      </c>
      <c r="B9" s="11" t="n">
        <v>48.6</v>
      </c>
      <c r="C9" s="11" t="s">
        <v>99</v>
      </c>
      <c r="D9" s="11" t="s">
        <v>100</v>
      </c>
      <c r="E9" s="12" t="s">
        <v>8</v>
      </c>
    </row>
    <row r="10" customFormat="false" ht="15" hidden="false" customHeight="true" outlineLevel="0" collapsed="false">
      <c r="A10" s="10" t="n">
        <v>20000</v>
      </c>
      <c r="B10" s="11" t="n">
        <v>70.2</v>
      </c>
      <c r="C10" s="11" t="s">
        <v>101</v>
      </c>
      <c r="D10" s="11" t="s">
        <v>100</v>
      </c>
      <c r="E10" s="12" t="s">
        <v>8</v>
      </c>
    </row>
    <row r="11" customFormat="false" ht="15" hidden="false" customHeight="true" outlineLevel="0" collapsed="false">
      <c r="A11" s="10" t="n">
        <v>30000</v>
      </c>
      <c r="B11" s="11" t="n">
        <v>113.4</v>
      </c>
      <c r="C11" s="11" t="s">
        <v>102</v>
      </c>
      <c r="D11" s="11" t="s">
        <v>100</v>
      </c>
      <c r="E11" s="12" t="s">
        <v>8</v>
      </c>
    </row>
    <row r="12" customFormat="false" ht="15" hidden="false" customHeight="true" outlineLevel="0" collapsed="false">
      <c r="A12" s="10" t="n">
        <v>35000</v>
      </c>
      <c r="B12" s="11" t="n">
        <v>156.4</v>
      </c>
      <c r="C12" s="11" t="s">
        <v>103</v>
      </c>
      <c r="D12" s="11" t="s">
        <v>104</v>
      </c>
      <c r="E12" s="12" t="s">
        <v>10</v>
      </c>
    </row>
    <row r="13" customFormat="false" ht="15" hidden="false" customHeight="true" outlineLevel="0" collapsed="false">
      <c r="A13" s="10" t="n">
        <v>40000</v>
      </c>
      <c r="B13" s="11" t="n">
        <v>199.4</v>
      </c>
      <c r="C13" s="11" t="s">
        <v>105</v>
      </c>
      <c r="D13" s="11" t="s">
        <v>104</v>
      </c>
      <c r="E13" s="12" t="s">
        <v>10</v>
      </c>
    </row>
    <row r="14" customFormat="false" ht="15" hidden="false" customHeight="true" outlineLevel="0" collapsed="false">
      <c r="A14" s="10" t="n">
        <v>45000</v>
      </c>
      <c r="B14" s="11" t="n">
        <v>242.4</v>
      </c>
      <c r="C14" s="11" t="s">
        <v>106</v>
      </c>
      <c r="D14" s="11" t="s">
        <v>104</v>
      </c>
      <c r="E14" s="12" t="s">
        <v>10</v>
      </c>
    </row>
    <row r="15" customFormat="false" ht="15" hidden="false" customHeight="true" outlineLevel="0" collapsed="false">
      <c r="A15" s="10" t="n">
        <v>48000</v>
      </c>
      <c r="B15" s="11" t="n">
        <v>306</v>
      </c>
      <c r="C15" s="11" t="s">
        <v>107</v>
      </c>
      <c r="D15" s="11" t="s">
        <v>108</v>
      </c>
      <c r="E15" s="12" t="s">
        <v>10</v>
      </c>
    </row>
    <row r="16" customFormat="false" ht="15" hidden="false" customHeight="true" outlineLevel="0" collapsed="false">
      <c r="A16" s="10" t="n">
        <v>50000</v>
      </c>
      <c r="B16" s="11" t="n">
        <v>348.4</v>
      </c>
      <c r="C16" s="11" t="s">
        <v>109</v>
      </c>
      <c r="D16" s="11" t="s">
        <v>108</v>
      </c>
      <c r="E16" s="12" t="s">
        <v>110</v>
      </c>
    </row>
    <row r="18" customFormat="false" ht="15" hidden="false" customHeight="true" outlineLevel="0" collapsed="false">
      <c r="A18" s="13" t="s">
        <v>111</v>
      </c>
      <c r="B18" s="13"/>
      <c r="C18" s="13"/>
      <c r="D18" s="13"/>
      <c r="E18" s="13"/>
    </row>
    <row r="19" customFormat="false" ht="15" hidden="false" customHeight="true" outlineLevel="0" collapsed="false">
      <c r="A19" s="13"/>
      <c r="B19" s="13"/>
      <c r="C19" s="13"/>
      <c r="D19" s="13"/>
      <c r="E19" s="13"/>
    </row>
    <row r="20" customFormat="false" ht="15" hidden="false" customHeight="true" outlineLevel="0" collapsed="false">
      <c r="A20" s="13"/>
      <c r="B20" s="13"/>
      <c r="C20" s="13"/>
      <c r="D20" s="13"/>
      <c r="E20" s="13"/>
    </row>
  </sheetData>
  <mergeCells count="1">
    <mergeCell ref="A18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42"/>
    <col collapsed="false" customWidth="true" hidden="false" outlineLevel="0" max="6" min="6" style="1" width="20"/>
    <col collapsed="false" customWidth="true" hidden="false" outlineLevel="0" max="7" min="7" style="1" width="14"/>
    <col collapsed="false" customWidth="true" hidden="false" outlineLevel="0" max="8" min="8" style="1" width="20"/>
  </cols>
  <sheetData>
    <row r="1" customFormat="false" ht="15.75" hidden="false" customHeight="true" outlineLevel="0" collapsed="false">
      <c r="A1" s="14" t="s">
        <v>112</v>
      </c>
    </row>
    <row r="3" customFormat="false" ht="15" hidden="false" customHeight="true" outlineLevel="0" collapsed="false">
      <c r="A3" s="15" t="s">
        <v>113</v>
      </c>
      <c r="B3" s="15" t="s">
        <v>114</v>
      </c>
      <c r="C3" s="15" t="s">
        <v>115</v>
      </c>
      <c r="D3" s="15" t="s">
        <v>116</v>
      </c>
      <c r="E3" s="15" t="s">
        <v>117</v>
      </c>
      <c r="F3" s="15" t="s">
        <v>118</v>
      </c>
      <c r="G3" s="15" t="s">
        <v>119</v>
      </c>
      <c r="H3" s="15" t="s">
        <v>120</v>
      </c>
    </row>
    <row r="4" customFormat="false" ht="15" hidden="false" customHeight="true" outlineLevel="0" collapsed="false">
      <c r="A4" s="16" t="n">
        <v>1</v>
      </c>
      <c r="B4" s="17" t="s">
        <v>121</v>
      </c>
      <c r="C4" s="17" t="s">
        <v>122</v>
      </c>
      <c r="D4" s="16" t="s">
        <v>123</v>
      </c>
      <c r="E4" s="17" t="s">
        <v>124</v>
      </c>
      <c r="F4" s="17" t="s">
        <v>125</v>
      </c>
      <c r="G4" s="17" t="s">
        <v>126</v>
      </c>
      <c r="H4" s="17"/>
    </row>
    <row r="5" customFormat="false" ht="15" hidden="false" customHeight="true" outlineLevel="0" collapsed="false">
      <c r="A5" s="16" t="n">
        <v>2</v>
      </c>
      <c r="B5" s="17" t="s">
        <v>127</v>
      </c>
      <c r="C5" s="17" t="s">
        <v>122</v>
      </c>
      <c r="D5" s="16" t="s">
        <v>123</v>
      </c>
      <c r="E5" s="17" t="s">
        <v>128</v>
      </c>
      <c r="F5" s="17" t="s">
        <v>125</v>
      </c>
      <c r="G5" s="17" t="s">
        <v>129</v>
      </c>
      <c r="H5" s="17"/>
    </row>
    <row r="6" customFormat="false" ht="15" hidden="false" customHeight="true" outlineLevel="0" collapsed="false">
      <c r="A6" s="16" t="n">
        <v>3</v>
      </c>
      <c r="B6" s="17" t="s">
        <v>130</v>
      </c>
      <c r="C6" s="17" t="s">
        <v>131</v>
      </c>
      <c r="D6" s="16" t="s">
        <v>132</v>
      </c>
      <c r="E6" s="17" t="s">
        <v>133</v>
      </c>
      <c r="F6" s="17" t="s">
        <v>125</v>
      </c>
      <c r="G6" s="17" t="s">
        <v>129</v>
      </c>
      <c r="H6" s="17"/>
    </row>
    <row r="7" customFormat="false" ht="15" hidden="false" customHeight="true" outlineLevel="0" collapsed="false">
      <c r="A7" s="16" t="n">
        <v>4</v>
      </c>
      <c r="B7" s="17" t="s">
        <v>134</v>
      </c>
      <c r="C7" s="17" t="s">
        <v>122</v>
      </c>
      <c r="D7" s="16" t="s">
        <v>135</v>
      </c>
      <c r="E7" s="17" t="s">
        <v>136</v>
      </c>
      <c r="F7" s="17" t="s">
        <v>125</v>
      </c>
      <c r="G7" s="17" t="s">
        <v>129</v>
      </c>
      <c r="H7" s="17"/>
    </row>
    <row r="8" customFormat="false" ht="15" hidden="false" customHeight="true" outlineLevel="0" collapsed="false">
      <c r="A8" s="16" t="n">
        <v>5</v>
      </c>
      <c r="B8" s="17" t="s">
        <v>137</v>
      </c>
      <c r="C8" s="17" t="s">
        <v>122</v>
      </c>
      <c r="D8" s="16" t="s">
        <v>135</v>
      </c>
      <c r="E8" s="17" t="s">
        <v>138</v>
      </c>
      <c r="F8" s="17" t="s">
        <v>125</v>
      </c>
      <c r="G8" s="17" t="s">
        <v>129</v>
      </c>
      <c r="H8" s="17"/>
    </row>
    <row r="9" customFormat="false" ht="15" hidden="false" customHeight="true" outlineLevel="0" collapsed="false">
      <c r="A9" s="16" t="n">
        <v>6</v>
      </c>
      <c r="B9" s="17" t="s">
        <v>139</v>
      </c>
      <c r="C9" s="17" t="s">
        <v>122</v>
      </c>
      <c r="D9" s="16" t="s">
        <v>123</v>
      </c>
      <c r="E9" s="17" t="s">
        <v>140</v>
      </c>
      <c r="F9" s="17" t="s">
        <v>125</v>
      </c>
      <c r="G9" s="17" t="s">
        <v>129</v>
      </c>
      <c r="H9" s="17" t="s">
        <v>141</v>
      </c>
    </row>
    <row r="10" customFormat="false" ht="15" hidden="false" customHeight="true" outlineLevel="0" collapsed="false">
      <c r="A10" s="16" t="n">
        <v>7</v>
      </c>
      <c r="B10" s="17" t="s">
        <v>142</v>
      </c>
      <c r="C10" s="17" t="s">
        <v>122</v>
      </c>
      <c r="D10" s="16" t="s">
        <v>123</v>
      </c>
      <c r="E10" s="17" t="s">
        <v>143</v>
      </c>
      <c r="F10" s="17" t="s">
        <v>125</v>
      </c>
      <c r="G10" s="17" t="s">
        <v>129</v>
      </c>
      <c r="H10" s="17" t="s">
        <v>144</v>
      </c>
    </row>
    <row r="11" customFormat="false" ht="15" hidden="false" customHeight="true" outlineLevel="0" collapsed="false">
      <c r="A11" s="16" t="n">
        <v>8</v>
      </c>
      <c r="B11" s="17" t="s">
        <v>145</v>
      </c>
      <c r="C11" s="17" t="s">
        <v>122</v>
      </c>
      <c r="D11" s="16" t="s">
        <v>135</v>
      </c>
      <c r="E11" s="17" t="s">
        <v>146</v>
      </c>
      <c r="F11" s="17" t="s">
        <v>125</v>
      </c>
      <c r="G11" s="17" t="s">
        <v>129</v>
      </c>
      <c r="H11" s="17"/>
    </row>
    <row r="12" customFormat="false" ht="15" hidden="false" customHeight="true" outlineLevel="0" collapsed="false">
      <c r="A12" s="16" t="n">
        <v>9</v>
      </c>
      <c r="B12" s="17" t="s">
        <v>147</v>
      </c>
      <c r="C12" s="17" t="s">
        <v>122</v>
      </c>
      <c r="D12" s="16" t="s">
        <v>123</v>
      </c>
      <c r="E12" s="17" t="s">
        <v>148</v>
      </c>
      <c r="F12" s="17" t="s">
        <v>125</v>
      </c>
      <c r="G12" s="17" t="s">
        <v>129</v>
      </c>
      <c r="H12" s="17"/>
    </row>
    <row r="13" customFormat="false" ht="15" hidden="false" customHeight="true" outlineLevel="0" collapsed="false">
      <c r="A13" s="16" t="n">
        <v>10</v>
      </c>
      <c r="B13" s="17" t="s">
        <v>149</v>
      </c>
      <c r="C13" s="17" t="s">
        <v>122</v>
      </c>
      <c r="D13" s="16" t="s">
        <v>135</v>
      </c>
      <c r="E13" s="17" t="s">
        <v>150</v>
      </c>
      <c r="F13" s="17" t="s">
        <v>125</v>
      </c>
      <c r="G13" s="17" t="s">
        <v>129</v>
      </c>
      <c r="H13" s="17"/>
    </row>
    <row r="14" customFormat="false" ht="15" hidden="false" customHeight="true" outlineLevel="0" collapsed="false">
      <c r="A14" s="16" t="n">
        <v>11</v>
      </c>
      <c r="B14" s="17" t="s">
        <v>151</v>
      </c>
      <c r="C14" s="17" t="s">
        <v>131</v>
      </c>
      <c r="D14" s="16" t="s">
        <v>132</v>
      </c>
      <c r="E14" s="17" t="s">
        <v>152</v>
      </c>
      <c r="F14" s="17" t="s">
        <v>125</v>
      </c>
      <c r="G14" s="17" t="s">
        <v>129</v>
      </c>
      <c r="H14" s="17"/>
    </row>
    <row r="15" customFormat="false" ht="15" hidden="false" customHeight="true" outlineLevel="0" collapsed="false">
      <c r="A15" s="16" t="n">
        <v>12</v>
      </c>
      <c r="B15" s="17" t="s">
        <v>153</v>
      </c>
      <c r="C15" s="17" t="s">
        <v>122</v>
      </c>
      <c r="D15" s="16" t="s">
        <v>135</v>
      </c>
      <c r="E15" s="17" t="s">
        <v>154</v>
      </c>
      <c r="F15" s="17" t="s">
        <v>125</v>
      </c>
      <c r="G15" s="17" t="s">
        <v>129</v>
      </c>
      <c r="H15" s="17" t="s">
        <v>155</v>
      </c>
    </row>
    <row r="16" customFormat="false" ht="15" hidden="false" customHeight="true" outlineLevel="0" collapsed="false">
      <c r="A16" s="16" t="n">
        <v>13</v>
      </c>
      <c r="B16" s="17" t="s">
        <v>156</v>
      </c>
      <c r="C16" s="17" t="s">
        <v>122</v>
      </c>
      <c r="D16" s="16" t="s">
        <v>123</v>
      </c>
      <c r="E16" s="17" t="s">
        <v>157</v>
      </c>
      <c r="F16" s="17" t="s">
        <v>125</v>
      </c>
      <c r="G16" s="17" t="s">
        <v>129</v>
      </c>
      <c r="H16" s="17"/>
    </row>
    <row r="17" customFormat="false" ht="15" hidden="false" customHeight="true" outlineLevel="0" collapsed="false">
      <c r="A17" s="16" t="n">
        <v>14</v>
      </c>
      <c r="B17" s="17" t="s">
        <v>158</v>
      </c>
      <c r="C17" s="17" t="s">
        <v>122</v>
      </c>
      <c r="D17" s="16" t="s">
        <v>135</v>
      </c>
      <c r="E17" s="17" t="s">
        <v>159</v>
      </c>
      <c r="F17" s="17" t="s">
        <v>125</v>
      </c>
      <c r="G17" s="17" t="s">
        <v>129</v>
      </c>
      <c r="H17" s="17" t="s">
        <v>160</v>
      </c>
    </row>
    <row r="18" customFormat="false" ht="15" hidden="false" customHeight="true" outlineLevel="0" collapsed="false">
      <c r="A18" s="16" t="n">
        <v>15</v>
      </c>
      <c r="B18" s="17" t="s">
        <v>161</v>
      </c>
      <c r="C18" s="17" t="s">
        <v>122</v>
      </c>
      <c r="D18" s="16" t="s">
        <v>162</v>
      </c>
      <c r="E18" s="17" t="s">
        <v>163</v>
      </c>
      <c r="F18" s="17" t="s">
        <v>125</v>
      </c>
      <c r="G18" s="17" t="s">
        <v>129</v>
      </c>
      <c r="H18" s="17" t="s">
        <v>164</v>
      </c>
    </row>
    <row r="19" customFormat="false" ht="15" hidden="false" customHeight="true" outlineLevel="0" collapsed="false">
      <c r="A19" s="18" t="n">
        <v>16</v>
      </c>
      <c r="B19" s="19" t="s">
        <v>165</v>
      </c>
      <c r="C19" s="19" t="s">
        <v>166</v>
      </c>
      <c r="D19" s="18" t="s">
        <v>135</v>
      </c>
      <c r="E19" s="19" t="s">
        <v>167</v>
      </c>
      <c r="F19" s="19" t="s">
        <v>168</v>
      </c>
      <c r="G19" s="19" t="s">
        <v>169</v>
      </c>
      <c r="H19" s="19" t="s">
        <v>170</v>
      </c>
    </row>
    <row r="20" customFormat="false" ht="15" hidden="false" customHeight="true" outlineLevel="0" collapsed="false">
      <c r="A20" s="18" t="n">
        <v>17</v>
      </c>
      <c r="B20" s="19" t="s">
        <v>171</v>
      </c>
      <c r="C20" s="19" t="s">
        <v>166</v>
      </c>
      <c r="D20" s="18" t="s">
        <v>123</v>
      </c>
      <c r="E20" s="19" t="s">
        <v>172</v>
      </c>
      <c r="F20" s="19" t="s">
        <v>173</v>
      </c>
      <c r="G20" s="19" t="s">
        <v>169</v>
      </c>
      <c r="H20" s="19" t="s">
        <v>174</v>
      </c>
    </row>
    <row r="21" customFormat="false" ht="15" hidden="false" customHeight="true" outlineLevel="0" collapsed="false">
      <c r="A21" s="18" t="n">
        <v>18</v>
      </c>
      <c r="B21" s="19" t="s">
        <v>175</v>
      </c>
      <c r="C21" s="19" t="s">
        <v>166</v>
      </c>
      <c r="D21" s="18" t="s">
        <v>123</v>
      </c>
      <c r="E21" s="19" t="s">
        <v>176</v>
      </c>
      <c r="F21" s="19" t="s">
        <v>177</v>
      </c>
      <c r="G21" s="19" t="s">
        <v>169</v>
      </c>
      <c r="H21" s="19" t="s">
        <v>178</v>
      </c>
    </row>
    <row r="22" customFormat="false" ht="15" hidden="false" customHeight="true" outlineLevel="0" collapsed="false">
      <c r="A22" s="18" t="n">
        <v>19</v>
      </c>
      <c r="B22" s="19" t="s">
        <v>179</v>
      </c>
      <c r="C22" s="19" t="s">
        <v>166</v>
      </c>
      <c r="D22" s="18" t="s">
        <v>135</v>
      </c>
      <c r="E22" s="19" t="s">
        <v>180</v>
      </c>
      <c r="F22" s="19" t="s">
        <v>181</v>
      </c>
      <c r="G22" s="19" t="s">
        <v>169</v>
      </c>
      <c r="H22" s="19" t="s">
        <v>182</v>
      </c>
    </row>
    <row r="23" customFormat="false" ht="15" hidden="false" customHeight="true" outlineLevel="0" collapsed="false">
      <c r="A23" s="18" t="n">
        <v>20</v>
      </c>
      <c r="B23" s="19" t="s">
        <v>183</v>
      </c>
      <c r="C23" s="19" t="s">
        <v>166</v>
      </c>
      <c r="D23" s="18" t="s">
        <v>135</v>
      </c>
      <c r="E23" s="19" t="s">
        <v>184</v>
      </c>
      <c r="F23" s="19" t="s">
        <v>185</v>
      </c>
      <c r="G23" s="19" t="s">
        <v>169</v>
      </c>
      <c r="H23" s="19" t="s">
        <v>186</v>
      </c>
    </row>
    <row r="24" customFormat="false" ht="15" hidden="false" customHeight="true" outlineLevel="0" collapsed="false">
      <c r="A24" s="20" t="n">
        <v>21</v>
      </c>
      <c r="B24" s="21" t="s">
        <v>187</v>
      </c>
      <c r="C24" s="21" t="s">
        <v>188</v>
      </c>
      <c r="D24" s="20" t="s">
        <v>123</v>
      </c>
      <c r="E24" s="21" t="s">
        <v>189</v>
      </c>
      <c r="F24" s="21" t="s">
        <v>190</v>
      </c>
      <c r="G24" s="21" t="s">
        <v>169</v>
      </c>
      <c r="H24" s="21" t="s">
        <v>191</v>
      </c>
    </row>
    <row r="25" customFormat="false" ht="15" hidden="false" customHeight="true" outlineLevel="0" collapsed="false">
      <c r="A25" s="20" t="n">
        <v>22</v>
      </c>
      <c r="B25" s="21" t="s">
        <v>192</v>
      </c>
      <c r="C25" s="21" t="s">
        <v>188</v>
      </c>
      <c r="D25" s="20" t="s">
        <v>135</v>
      </c>
      <c r="E25" s="21" t="s">
        <v>193</v>
      </c>
      <c r="F25" s="21" t="s">
        <v>190</v>
      </c>
      <c r="G25" s="21" t="s">
        <v>169</v>
      </c>
      <c r="H25" s="21" t="s">
        <v>191</v>
      </c>
    </row>
    <row r="26" customFormat="false" ht="15" hidden="false" customHeight="true" outlineLevel="0" collapsed="false">
      <c r="A26" s="20" t="n">
        <v>23</v>
      </c>
      <c r="B26" s="21" t="s">
        <v>194</v>
      </c>
      <c r="C26" s="21" t="s">
        <v>188</v>
      </c>
      <c r="D26" s="20" t="s">
        <v>135</v>
      </c>
      <c r="E26" s="21" t="s">
        <v>195</v>
      </c>
      <c r="F26" s="21" t="s">
        <v>190</v>
      </c>
      <c r="G26" s="21" t="s">
        <v>169</v>
      </c>
      <c r="H26" s="21" t="s">
        <v>191</v>
      </c>
    </row>
    <row r="27" customFormat="false" ht="15" hidden="false" customHeight="true" outlineLevel="0" collapsed="false">
      <c r="A27" s="20" t="n">
        <v>24</v>
      </c>
      <c r="B27" s="21" t="s">
        <v>196</v>
      </c>
      <c r="C27" s="21" t="s">
        <v>188</v>
      </c>
      <c r="D27" s="20" t="s">
        <v>123</v>
      </c>
      <c r="E27" s="21" t="s">
        <v>197</v>
      </c>
      <c r="F27" s="21" t="s">
        <v>190</v>
      </c>
      <c r="G27" s="21" t="s">
        <v>169</v>
      </c>
      <c r="H27" s="21" t="s">
        <v>191</v>
      </c>
    </row>
    <row r="28" customFormat="false" ht="15" hidden="false" customHeight="true" outlineLevel="0" collapsed="false">
      <c r="A28" s="20" t="n">
        <v>25</v>
      </c>
      <c r="B28" s="21" t="s">
        <v>198</v>
      </c>
      <c r="C28" s="21" t="s">
        <v>188</v>
      </c>
      <c r="D28" s="20" t="s">
        <v>135</v>
      </c>
      <c r="E28" s="21" t="s">
        <v>199</v>
      </c>
      <c r="F28" s="21" t="s">
        <v>190</v>
      </c>
      <c r="G28" s="21" t="s">
        <v>169</v>
      </c>
      <c r="H28" s="21" t="s">
        <v>191</v>
      </c>
    </row>
    <row r="29" customFormat="false" ht="15" hidden="false" customHeight="true" outlineLevel="0" collapsed="false">
      <c r="A29" s="20" t="n">
        <v>26</v>
      </c>
      <c r="B29" s="21" t="s">
        <v>200</v>
      </c>
      <c r="C29" s="21" t="s">
        <v>201</v>
      </c>
      <c r="D29" s="20" t="s">
        <v>202</v>
      </c>
      <c r="E29" s="21" t="s">
        <v>203</v>
      </c>
      <c r="F29" s="21" t="s">
        <v>204</v>
      </c>
      <c r="G29" s="21" t="s">
        <v>169</v>
      </c>
      <c r="H29" s="21" t="s">
        <v>201</v>
      </c>
    </row>
    <row r="30" customFormat="false" ht="15" hidden="false" customHeight="true" outlineLevel="0" collapsed="false">
      <c r="A30" s="20" t="n">
        <v>27</v>
      </c>
      <c r="B30" s="21" t="s">
        <v>205</v>
      </c>
      <c r="C30" s="21" t="s">
        <v>201</v>
      </c>
      <c r="D30" s="20" t="s">
        <v>202</v>
      </c>
      <c r="E30" s="21" t="s">
        <v>206</v>
      </c>
      <c r="F30" s="21" t="s">
        <v>204</v>
      </c>
      <c r="G30" s="21" t="s">
        <v>169</v>
      </c>
      <c r="H30" s="21" t="s">
        <v>207</v>
      </c>
    </row>
    <row r="31" customFormat="false" ht="15" hidden="false" customHeight="true" outlineLevel="0" collapsed="false">
      <c r="A31" s="20" t="n">
        <v>28</v>
      </c>
      <c r="B31" s="21" t="s">
        <v>208</v>
      </c>
      <c r="C31" s="21" t="s">
        <v>201</v>
      </c>
      <c r="D31" s="20" t="s">
        <v>202</v>
      </c>
      <c r="E31" s="21" t="s">
        <v>209</v>
      </c>
      <c r="F31" s="21" t="s">
        <v>204</v>
      </c>
      <c r="G31" s="21" t="s">
        <v>169</v>
      </c>
      <c r="H31" s="21" t="s">
        <v>207</v>
      </c>
    </row>
    <row r="32" customFormat="false" ht="15" hidden="false" customHeight="true" outlineLevel="0" collapsed="false">
      <c r="A32" s="20" t="n">
        <v>29</v>
      </c>
      <c r="B32" s="21" t="s">
        <v>210</v>
      </c>
      <c r="C32" s="21" t="s">
        <v>201</v>
      </c>
      <c r="D32" s="20" t="s">
        <v>211</v>
      </c>
      <c r="E32" s="21" t="s">
        <v>212</v>
      </c>
      <c r="F32" s="21" t="s">
        <v>204</v>
      </c>
      <c r="G32" s="21" t="s">
        <v>169</v>
      </c>
      <c r="H32" s="21" t="s">
        <v>207</v>
      </c>
    </row>
    <row r="33" customFormat="false" ht="15" hidden="false" customHeight="true" outlineLevel="0" collapsed="false">
      <c r="A33" s="20" t="n">
        <v>30</v>
      </c>
      <c r="B33" s="21" t="s">
        <v>213</v>
      </c>
      <c r="C33" s="21" t="s">
        <v>201</v>
      </c>
      <c r="D33" s="20" t="s">
        <v>202</v>
      </c>
      <c r="E33" s="21" t="s">
        <v>214</v>
      </c>
      <c r="F33" s="21" t="s">
        <v>204</v>
      </c>
      <c r="G33" s="21" t="s">
        <v>169</v>
      </c>
      <c r="H33" s="21" t="s">
        <v>201</v>
      </c>
    </row>
    <row r="34" customFormat="false" ht="15" hidden="false" customHeight="true" outlineLevel="0" collapsed="false">
      <c r="A34" s="20" t="n">
        <v>31</v>
      </c>
      <c r="B34" s="21" t="s">
        <v>215</v>
      </c>
      <c r="C34" s="21" t="s">
        <v>201</v>
      </c>
      <c r="D34" s="20" t="s">
        <v>202</v>
      </c>
      <c r="E34" s="21" t="s">
        <v>216</v>
      </c>
      <c r="F34" s="21" t="s">
        <v>204</v>
      </c>
      <c r="G34" s="21" t="s">
        <v>169</v>
      </c>
      <c r="H34" s="21" t="s">
        <v>201</v>
      </c>
    </row>
    <row r="35" customFormat="false" ht="15" hidden="false" customHeight="true" outlineLevel="0" collapsed="false">
      <c r="A35" s="20" t="n">
        <v>32</v>
      </c>
      <c r="B35" s="21" t="s">
        <v>217</v>
      </c>
      <c r="C35" s="21" t="s">
        <v>201</v>
      </c>
      <c r="D35" s="20" t="s">
        <v>211</v>
      </c>
      <c r="E35" s="21" t="s">
        <v>218</v>
      </c>
      <c r="F35" s="21" t="s">
        <v>204</v>
      </c>
      <c r="G35" s="21" t="s">
        <v>169</v>
      </c>
      <c r="H35" s="21" t="s">
        <v>219</v>
      </c>
    </row>
    <row r="36" customFormat="false" ht="15" hidden="false" customHeight="true" outlineLevel="0" collapsed="false">
      <c r="A36" s="20" t="n">
        <v>33</v>
      </c>
      <c r="B36" s="21" t="s">
        <v>220</v>
      </c>
      <c r="C36" s="21" t="s">
        <v>201</v>
      </c>
      <c r="D36" s="20" t="s">
        <v>221</v>
      </c>
      <c r="E36" s="21" t="s">
        <v>222</v>
      </c>
      <c r="F36" s="21" t="s">
        <v>204</v>
      </c>
      <c r="G36" s="21" t="s">
        <v>169</v>
      </c>
      <c r="H36" s="21" t="s">
        <v>223</v>
      </c>
    </row>
    <row r="37" customFormat="false" ht="15" hidden="false" customHeight="true" outlineLevel="0" collapsed="false">
      <c r="A37" s="20" t="n">
        <v>34</v>
      </c>
      <c r="B37" s="21" t="s">
        <v>224</v>
      </c>
      <c r="C37" s="21" t="s">
        <v>201</v>
      </c>
      <c r="D37" s="20" t="s">
        <v>221</v>
      </c>
      <c r="E37" s="21" t="s">
        <v>225</v>
      </c>
      <c r="F37" s="21" t="s">
        <v>204</v>
      </c>
      <c r="G37" s="21" t="s">
        <v>169</v>
      </c>
      <c r="H37" s="21" t="s">
        <v>201</v>
      </c>
    </row>
    <row r="38" customFormat="false" ht="15" hidden="false" customHeight="true" outlineLevel="0" collapsed="false">
      <c r="A38" s="20" t="n">
        <v>35</v>
      </c>
      <c r="B38" s="21" t="s">
        <v>226</v>
      </c>
      <c r="C38" s="21" t="s">
        <v>201</v>
      </c>
      <c r="D38" s="20" t="s">
        <v>221</v>
      </c>
      <c r="E38" s="21" t="s">
        <v>227</v>
      </c>
      <c r="F38" s="21" t="s">
        <v>204</v>
      </c>
      <c r="G38" s="21" t="s">
        <v>169</v>
      </c>
      <c r="H38" s="21" t="s">
        <v>201</v>
      </c>
    </row>
    <row r="39" customFormat="false" ht="15" hidden="false" customHeight="true" outlineLevel="0" collapsed="false">
      <c r="A39" s="22" t="n">
        <v>36</v>
      </c>
      <c r="B39" s="23" t="s">
        <v>228</v>
      </c>
      <c r="C39" s="23" t="s">
        <v>229</v>
      </c>
      <c r="D39" s="22" t="s">
        <v>123</v>
      </c>
      <c r="E39" s="23" t="s">
        <v>230</v>
      </c>
      <c r="F39" s="23" t="s">
        <v>231</v>
      </c>
      <c r="G39" s="23" t="s">
        <v>169</v>
      </c>
      <c r="H39" s="23" t="s">
        <v>232</v>
      </c>
    </row>
    <row r="40" customFormat="false" ht="15" hidden="false" customHeight="true" outlineLevel="0" collapsed="false">
      <c r="A40" s="22" t="n">
        <v>37</v>
      </c>
      <c r="B40" s="23" t="s">
        <v>233</v>
      </c>
      <c r="C40" s="23" t="s">
        <v>229</v>
      </c>
      <c r="D40" s="22" t="s">
        <v>123</v>
      </c>
      <c r="E40" s="23" t="s">
        <v>234</v>
      </c>
      <c r="F40" s="23" t="s">
        <v>231</v>
      </c>
      <c r="G40" s="23" t="s">
        <v>169</v>
      </c>
      <c r="H40" s="23" t="s">
        <v>232</v>
      </c>
    </row>
    <row r="41" customFormat="false" ht="15" hidden="false" customHeight="true" outlineLevel="0" collapsed="false">
      <c r="A41" s="22" t="n">
        <v>38</v>
      </c>
      <c r="B41" s="23" t="s">
        <v>235</v>
      </c>
      <c r="C41" s="23" t="s">
        <v>229</v>
      </c>
      <c r="D41" s="22" t="s">
        <v>135</v>
      </c>
      <c r="E41" s="23" t="s">
        <v>236</v>
      </c>
      <c r="F41" s="23" t="s">
        <v>231</v>
      </c>
      <c r="G41" s="23" t="s">
        <v>169</v>
      </c>
      <c r="H41" s="23" t="s">
        <v>232</v>
      </c>
    </row>
    <row r="42" customFormat="false" ht="15" hidden="false" customHeight="true" outlineLevel="0" collapsed="false">
      <c r="A42" s="22" t="n">
        <v>39</v>
      </c>
      <c r="B42" s="23" t="s">
        <v>237</v>
      </c>
      <c r="C42" s="23" t="s">
        <v>238</v>
      </c>
      <c r="D42" s="22" t="s">
        <v>135</v>
      </c>
      <c r="E42" s="23" t="s">
        <v>239</v>
      </c>
      <c r="F42" s="23" t="s">
        <v>240</v>
      </c>
      <c r="G42" s="23" t="s">
        <v>169</v>
      </c>
      <c r="H42" s="23" t="s">
        <v>241</v>
      </c>
    </row>
    <row r="43" customFormat="false" ht="15" hidden="false" customHeight="true" outlineLevel="0" collapsed="false">
      <c r="A43" s="22" t="n">
        <v>40</v>
      </c>
      <c r="B43" s="23" t="s">
        <v>242</v>
      </c>
      <c r="C43" s="23" t="s">
        <v>238</v>
      </c>
      <c r="D43" s="22" t="s">
        <v>123</v>
      </c>
      <c r="E43" s="23" t="s">
        <v>243</v>
      </c>
      <c r="F43" s="23" t="s">
        <v>240</v>
      </c>
      <c r="G43" s="23" t="s">
        <v>169</v>
      </c>
      <c r="H43" s="23" t="s">
        <v>241</v>
      </c>
    </row>
    <row r="44" customFormat="false" ht="15" hidden="false" customHeight="true" outlineLevel="0" collapsed="false">
      <c r="A44" s="22" t="n">
        <v>41</v>
      </c>
      <c r="B44" s="23" t="s">
        <v>244</v>
      </c>
      <c r="C44" s="23" t="s">
        <v>238</v>
      </c>
      <c r="D44" s="22" t="s">
        <v>123</v>
      </c>
      <c r="E44" s="23" t="s">
        <v>245</v>
      </c>
      <c r="F44" s="23" t="s">
        <v>240</v>
      </c>
      <c r="G44" s="23" t="s">
        <v>169</v>
      </c>
      <c r="H44" s="23" t="s">
        <v>241</v>
      </c>
    </row>
    <row r="45" customFormat="false" ht="15" hidden="false" customHeight="true" outlineLevel="0" collapsed="false">
      <c r="A45" s="22" t="n">
        <v>42</v>
      </c>
      <c r="B45" s="23" t="s">
        <v>246</v>
      </c>
      <c r="C45" s="23" t="s">
        <v>247</v>
      </c>
      <c r="D45" s="22" t="s">
        <v>135</v>
      </c>
      <c r="E45" s="23" t="s">
        <v>248</v>
      </c>
      <c r="F45" s="23" t="s">
        <v>249</v>
      </c>
      <c r="G45" s="23" t="s">
        <v>169</v>
      </c>
      <c r="H45" s="23" t="s">
        <v>250</v>
      </c>
    </row>
    <row r="46" customFormat="false" ht="15" hidden="false" customHeight="true" outlineLevel="0" collapsed="false">
      <c r="A46" s="22" t="n">
        <v>43</v>
      </c>
      <c r="B46" s="23" t="s">
        <v>251</v>
      </c>
      <c r="C46" s="23" t="s">
        <v>247</v>
      </c>
      <c r="D46" s="22" t="s">
        <v>123</v>
      </c>
      <c r="E46" s="23" t="s">
        <v>252</v>
      </c>
      <c r="F46" s="23" t="s">
        <v>249</v>
      </c>
      <c r="G46" s="23" t="s">
        <v>169</v>
      </c>
      <c r="H46" s="23" t="s">
        <v>250</v>
      </c>
    </row>
    <row r="47" customFormat="false" ht="15" hidden="false" customHeight="true" outlineLevel="0" collapsed="false">
      <c r="A47" s="22" t="n">
        <v>44</v>
      </c>
      <c r="B47" s="23" t="s">
        <v>253</v>
      </c>
      <c r="C47" s="23" t="s">
        <v>247</v>
      </c>
      <c r="D47" s="22" t="s">
        <v>135</v>
      </c>
      <c r="E47" s="23" t="s">
        <v>254</v>
      </c>
      <c r="F47" s="23" t="s">
        <v>249</v>
      </c>
      <c r="G47" s="23" t="s">
        <v>169</v>
      </c>
      <c r="H47" s="23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14"/>
  </cols>
  <sheetData>
    <row r="1" customFormat="false" ht="16.15" hidden="false" customHeight="false" outlineLevel="0" collapsed="false">
      <c r="A1" s="24" t="s">
        <v>255</v>
      </c>
    </row>
    <row r="3" customFormat="false" ht="15" hidden="false" customHeight="false" outlineLevel="0" collapsed="false">
      <c r="A3" s="15" t="s">
        <v>256</v>
      </c>
      <c r="B3" s="15" t="s">
        <v>115</v>
      </c>
      <c r="C3" s="15" t="s">
        <v>257</v>
      </c>
      <c r="D3" s="15" t="s">
        <v>119</v>
      </c>
    </row>
    <row r="4" customFormat="false" ht="15" hidden="false" customHeight="false" outlineLevel="0" collapsed="false">
      <c r="A4" s="25" t="s">
        <v>187</v>
      </c>
      <c r="B4" s="25" t="s">
        <v>188</v>
      </c>
      <c r="C4" s="26" t="s">
        <v>190</v>
      </c>
      <c r="D4" s="26" t="n">
        <v>500</v>
      </c>
    </row>
    <row r="5" customFormat="false" ht="15" hidden="false" customHeight="false" outlineLevel="0" collapsed="false">
      <c r="A5" s="25" t="s">
        <v>192</v>
      </c>
      <c r="B5" s="25" t="s">
        <v>188</v>
      </c>
      <c r="C5" s="26" t="s">
        <v>190</v>
      </c>
      <c r="D5" s="26" t="n">
        <v>800</v>
      </c>
    </row>
    <row r="6" customFormat="false" ht="15" hidden="false" customHeight="false" outlineLevel="0" collapsed="false">
      <c r="A6" s="25" t="s">
        <v>194</v>
      </c>
      <c r="B6" s="25" t="s">
        <v>188</v>
      </c>
      <c r="C6" s="26" t="s">
        <v>190</v>
      </c>
      <c r="D6" s="26" t="n">
        <v>1200</v>
      </c>
    </row>
    <row r="7" customFormat="false" ht="15" hidden="false" customHeight="false" outlineLevel="0" collapsed="false">
      <c r="A7" s="25" t="s">
        <v>196</v>
      </c>
      <c r="B7" s="25" t="s">
        <v>188</v>
      </c>
      <c r="C7" s="26" t="s">
        <v>190</v>
      </c>
      <c r="D7" s="26" t="n">
        <v>2000</v>
      </c>
    </row>
    <row r="8" customFormat="false" ht="15" hidden="false" customHeight="false" outlineLevel="0" collapsed="false">
      <c r="A8" s="25" t="s">
        <v>198</v>
      </c>
      <c r="B8" s="25" t="s">
        <v>188</v>
      </c>
      <c r="C8" s="26" t="s">
        <v>190</v>
      </c>
      <c r="D8" s="26" t="n">
        <v>3500</v>
      </c>
    </row>
    <row r="9" customFormat="false" ht="15" hidden="false" customHeight="false" outlineLevel="0" collapsed="false">
      <c r="A9" s="25" t="s">
        <v>258</v>
      </c>
      <c r="B9" s="25" t="s">
        <v>201</v>
      </c>
      <c r="C9" s="26" t="s">
        <v>190</v>
      </c>
      <c r="D9" s="26" t="n">
        <v>1000</v>
      </c>
    </row>
    <row r="10" customFormat="false" ht="15" hidden="false" customHeight="false" outlineLevel="0" collapsed="false">
      <c r="A10" s="25" t="s">
        <v>259</v>
      </c>
      <c r="B10" s="25" t="s">
        <v>232</v>
      </c>
      <c r="C10" s="26" t="s">
        <v>260</v>
      </c>
      <c r="D10" s="26" t="n">
        <v>100</v>
      </c>
    </row>
    <row r="11" customFormat="false" ht="15" hidden="false" customHeight="false" outlineLevel="0" collapsed="false">
      <c r="A11" s="25" t="s">
        <v>261</v>
      </c>
      <c r="B11" s="25" t="s">
        <v>232</v>
      </c>
      <c r="C11" s="26" t="s">
        <v>260</v>
      </c>
      <c r="D11" s="26" t="n">
        <v>1000</v>
      </c>
    </row>
    <row r="12" customFormat="false" ht="15" hidden="false" customHeight="false" outlineLevel="0" collapsed="false">
      <c r="A12" s="25" t="s">
        <v>262</v>
      </c>
      <c r="B12" s="25" t="s">
        <v>232</v>
      </c>
      <c r="C12" s="26" t="s">
        <v>260</v>
      </c>
      <c r="D12" s="26" t="n">
        <v>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20"/>
  </cols>
  <sheetData>
    <row r="1" customFormat="false" ht="16.15" hidden="false" customHeight="false" outlineLevel="0" collapsed="false">
      <c r="A1" s="24" t="s">
        <v>263</v>
      </c>
    </row>
    <row r="3" customFormat="false" ht="15" hidden="false" customHeight="false" outlineLevel="0" collapsed="false">
      <c r="A3" s="15" t="s">
        <v>264</v>
      </c>
      <c r="B3" s="15" t="s">
        <v>265</v>
      </c>
      <c r="C3" s="15" t="s">
        <v>266</v>
      </c>
      <c r="D3" s="15" t="s">
        <v>267</v>
      </c>
    </row>
    <row r="4" customFormat="false" ht="15" hidden="false" customHeight="false" outlineLevel="0" collapsed="false">
      <c r="A4" s="25" t="s">
        <v>268</v>
      </c>
      <c r="B4" s="26" t="s">
        <v>269</v>
      </c>
      <c r="C4" s="25" t="s">
        <v>270</v>
      </c>
      <c r="D4" s="26" t="s">
        <v>169</v>
      </c>
    </row>
    <row r="5" customFormat="false" ht="15" hidden="false" customHeight="false" outlineLevel="0" collapsed="false">
      <c r="A5" s="25" t="s">
        <v>271</v>
      </c>
      <c r="B5" s="26" t="s">
        <v>272</v>
      </c>
      <c r="C5" s="25" t="s">
        <v>273</v>
      </c>
      <c r="D5" s="26" t="s">
        <v>169</v>
      </c>
    </row>
    <row r="6" customFormat="false" ht="26.85" hidden="false" customHeight="false" outlineLevel="0" collapsed="false">
      <c r="A6" s="25" t="s">
        <v>274</v>
      </c>
      <c r="B6" s="26" t="s">
        <v>275</v>
      </c>
      <c r="C6" s="25" t="s">
        <v>276</v>
      </c>
      <c r="D6" s="26" t="s">
        <v>277</v>
      </c>
    </row>
    <row r="8" customFormat="false" ht="15" hidden="false" customHeight="false" outlineLevel="0" collapsed="false">
      <c r="A8" s="27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4"/>
  </cols>
  <sheetData>
    <row r="1" customFormat="false" ht="16.15" hidden="false" customHeight="false" outlineLevel="0" collapsed="false">
      <c r="A1" s="24" t="s">
        <v>279</v>
      </c>
    </row>
    <row r="2" customFormat="false" ht="15" hidden="false" customHeight="false" outlineLevel="0" collapsed="false">
      <c r="A2" s="28" t="s">
        <v>280</v>
      </c>
    </row>
    <row r="4" customFormat="false" ht="26.85" hidden="false" customHeight="false" outlineLevel="0" collapsed="false">
      <c r="A4" s="15" t="s">
        <v>281</v>
      </c>
      <c r="B4" s="15" t="s">
        <v>282</v>
      </c>
      <c r="C4" s="15" t="s">
        <v>283</v>
      </c>
      <c r="D4" s="15" t="s">
        <v>284</v>
      </c>
    </row>
    <row r="5" customFormat="false" ht="15" hidden="false" customHeight="false" outlineLevel="0" collapsed="false">
      <c r="A5" s="25" t="s">
        <v>285</v>
      </c>
      <c r="B5" s="26" t="n">
        <v>300</v>
      </c>
      <c r="C5" s="26" t="n">
        <v>1</v>
      </c>
      <c r="D5" s="26" t="n">
        <f aca="false">ROUND(B5*0.1*C5,0)</f>
        <v>30</v>
      </c>
    </row>
    <row r="6" customFormat="false" ht="15" hidden="false" customHeight="false" outlineLevel="0" collapsed="false">
      <c r="A6" s="25" t="s">
        <v>286</v>
      </c>
      <c r="B6" s="26" t="n">
        <v>300</v>
      </c>
      <c r="C6" s="26" t="n">
        <v>1.1</v>
      </c>
      <c r="D6" s="26" t="n">
        <f aca="false">ROUND(B6*0.1*C6,0)</f>
        <v>33</v>
      </c>
    </row>
    <row r="7" customFormat="false" ht="15" hidden="false" customHeight="false" outlineLevel="0" collapsed="false">
      <c r="A7" s="25" t="s">
        <v>287</v>
      </c>
      <c r="B7" s="26" t="n">
        <v>350</v>
      </c>
      <c r="C7" s="26" t="n">
        <v>1.1</v>
      </c>
      <c r="D7" s="26" t="n">
        <f aca="false">ROUND(B7*0.1*C7,0)</f>
        <v>39</v>
      </c>
    </row>
    <row r="8" customFormat="false" ht="15" hidden="false" customHeight="false" outlineLevel="0" collapsed="false">
      <c r="A8" s="25" t="s">
        <v>288</v>
      </c>
      <c r="B8" s="26" t="n">
        <v>350</v>
      </c>
      <c r="C8" s="26" t="n">
        <v>1.2</v>
      </c>
      <c r="D8" s="26" t="n">
        <f aca="false">ROUND(B8*0.1*C8,0)</f>
        <v>42</v>
      </c>
    </row>
    <row r="9" customFormat="false" ht="15" hidden="false" customHeight="false" outlineLevel="0" collapsed="false">
      <c r="A9" s="25" t="s">
        <v>289</v>
      </c>
      <c r="B9" s="26" t="n">
        <v>400</v>
      </c>
      <c r="C9" s="26" t="n">
        <v>1.3</v>
      </c>
      <c r="D9" s="26" t="n">
        <f aca="false">ROUND(B9*0.1*C9,0)</f>
        <v>52</v>
      </c>
    </row>
    <row r="10" customFormat="false" ht="15" hidden="false" customHeight="false" outlineLevel="0" collapsed="false">
      <c r="A10" s="25" t="s">
        <v>290</v>
      </c>
      <c r="B10" s="26" t="n">
        <v>450</v>
      </c>
      <c r="C10" s="26" t="n">
        <v>1.4</v>
      </c>
      <c r="D10" s="26" t="n">
        <f aca="false">ROUND(B10*0.1*C10,0)</f>
        <v>63</v>
      </c>
    </row>
    <row r="11" customFormat="false" ht="15" hidden="false" customHeight="false" outlineLevel="0" collapsed="false">
      <c r="A11" s="25" t="s">
        <v>291</v>
      </c>
      <c r="B11" s="26" t="n">
        <v>500</v>
      </c>
      <c r="C11" s="26" t="n">
        <v>1.5</v>
      </c>
      <c r="D11" s="26" t="n">
        <f aca="false">ROUND(B11*0.1*C11,0)</f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50"/>
  </cols>
  <sheetData>
    <row r="1" customFormat="false" ht="17.25" hidden="false" customHeight="true" outlineLevel="0" collapsed="false">
      <c r="A1" s="2" t="s">
        <v>292</v>
      </c>
    </row>
    <row r="4" customFormat="false" ht="15" hidden="false" customHeight="true" outlineLevel="0" collapsed="false">
      <c r="A4" s="9" t="s">
        <v>293</v>
      </c>
      <c r="B4" s="9" t="s">
        <v>294</v>
      </c>
      <c r="C4" s="9" t="s">
        <v>295</v>
      </c>
    </row>
    <row r="5" customFormat="false" ht="15" hidden="false" customHeight="true" outlineLevel="0" collapsed="false">
      <c r="A5" s="11" t="s">
        <v>296</v>
      </c>
      <c r="B5" s="11" t="s">
        <v>297</v>
      </c>
      <c r="C5" s="12" t="s">
        <v>298</v>
      </c>
    </row>
    <row r="6" customFormat="false" ht="15" hidden="false" customHeight="true" outlineLevel="0" collapsed="false">
      <c r="A6" s="11" t="s">
        <v>299</v>
      </c>
      <c r="B6" s="11" t="n">
        <f aca="false">Параметры!$B$34</f>
        <v>100</v>
      </c>
      <c r="C6" s="12" t="s">
        <v>300</v>
      </c>
    </row>
    <row r="7" customFormat="false" ht="15" hidden="false" customHeight="true" outlineLevel="0" collapsed="false">
      <c r="A7" s="11" t="s">
        <v>261</v>
      </c>
      <c r="B7" s="11" t="n">
        <f aca="false">Параметры!$B$35</f>
        <v>1000</v>
      </c>
      <c r="C7" s="12" t="s">
        <v>301</v>
      </c>
    </row>
    <row r="8" customFormat="false" ht="15" hidden="false" customHeight="true" outlineLevel="0" collapsed="false">
      <c r="A8" s="11" t="s">
        <v>302</v>
      </c>
      <c r="B8" s="11" t="n">
        <f aca="false">Параметры!$B$36</f>
        <v>3000</v>
      </c>
      <c r="C8" s="12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40"/>
  </cols>
  <sheetData>
    <row r="1" customFormat="false" ht="17.25" hidden="false" customHeight="true" outlineLevel="0" collapsed="false">
      <c r="A1" s="2" t="s">
        <v>304</v>
      </c>
    </row>
    <row r="3" customFormat="false" ht="15" hidden="false" customHeight="true" outlineLevel="0" collapsed="false">
      <c r="A3" s="9" t="s">
        <v>305</v>
      </c>
      <c r="B3" s="9" t="s">
        <v>306</v>
      </c>
      <c r="C3" s="9" t="s">
        <v>307</v>
      </c>
      <c r="D3" s="9" t="s">
        <v>308</v>
      </c>
    </row>
    <row r="4" customFormat="false" ht="15" hidden="false" customHeight="true" outlineLevel="0" collapsed="false">
      <c r="A4" s="12" t="s">
        <v>309</v>
      </c>
      <c r="B4" s="12" t="s">
        <v>310</v>
      </c>
      <c r="C4" s="12" t="n">
        <f aca="false">Параметры!$B$20</f>
        <v>5</v>
      </c>
      <c r="D4" s="12" t="s">
        <v>311</v>
      </c>
    </row>
    <row r="5" customFormat="false" ht="15" hidden="false" customHeight="true" outlineLevel="0" collapsed="false">
      <c r="A5" s="12" t="s">
        <v>312</v>
      </c>
      <c r="B5" s="12" t="s">
        <v>313</v>
      </c>
      <c r="C5" s="12" t="n">
        <f aca="false">Параметры!$B$21</f>
        <v>15</v>
      </c>
      <c r="D5" s="12" t="s">
        <v>314</v>
      </c>
    </row>
    <row r="6" customFormat="false" ht="15" hidden="false" customHeight="true" outlineLevel="0" collapsed="false">
      <c r="A6" s="12" t="s">
        <v>315</v>
      </c>
      <c r="B6" s="12" t="s">
        <v>316</v>
      </c>
      <c r="C6" s="12" t="n">
        <f aca="false">Параметры!$B$22</f>
        <v>25</v>
      </c>
      <c r="D6" s="12" t="s">
        <v>314</v>
      </c>
    </row>
    <row r="7" customFormat="false" ht="15" hidden="false" customHeight="true" outlineLevel="0" collapsed="false">
      <c r="A7" s="12" t="s">
        <v>317</v>
      </c>
      <c r="B7" s="12" t="s">
        <v>318</v>
      </c>
      <c r="C7" s="12" t="n">
        <f aca="false">Параметры!$B$23</f>
        <v>25</v>
      </c>
      <c r="D7" s="12" t="s">
        <v>31</v>
      </c>
    </row>
    <row r="9" customFormat="false" ht="15" hidden="false" customHeight="true" outlineLevel="0" collapsed="false">
      <c r="A9" s="8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6" min="6" style="0" width="10"/>
  </cols>
  <sheetData>
    <row r="1" customFormat="false" ht="16.15" hidden="false" customHeight="false" outlineLevel="0" collapsed="false">
      <c r="A1" s="24" t="s">
        <v>320</v>
      </c>
    </row>
    <row r="2" customFormat="false" ht="15" hidden="false" customHeight="false" outlineLevel="0" collapsed="false">
      <c r="A2" s="28" t="s">
        <v>321</v>
      </c>
    </row>
    <row r="4" customFormat="false" ht="15" hidden="false" customHeight="false" outlineLevel="0" collapsed="false">
      <c r="A4" s="15" t="s">
        <v>322</v>
      </c>
      <c r="B4" s="15" t="s">
        <v>257</v>
      </c>
      <c r="C4" s="15" t="s">
        <v>323</v>
      </c>
      <c r="D4" s="15" t="s">
        <v>324</v>
      </c>
      <c r="E4" s="15" t="s">
        <v>325</v>
      </c>
      <c r="F4" s="15" t="s">
        <v>326</v>
      </c>
    </row>
    <row r="5" customFormat="false" ht="15" hidden="false" customHeight="false" outlineLevel="0" collapsed="false">
      <c r="A5" s="25" t="s">
        <v>327</v>
      </c>
      <c r="B5" s="26" t="s">
        <v>328</v>
      </c>
      <c r="C5" s="25" t="s">
        <v>329</v>
      </c>
      <c r="D5" s="26" t="n">
        <v>10</v>
      </c>
      <c r="E5" s="26" t="n">
        <v>1.35</v>
      </c>
      <c r="F5" s="26" t="s">
        <v>330</v>
      </c>
    </row>
    <row r="6" customFormat="false" ht="15" hidden="false" customHeight="false" outlineLevel="0" collapsed="false">
      <c r="A6" s="25" t="s">
        <v>331</v>
      </c>
      <c r="B6" s="26" t="s">
        <v>328</v>
      </c>
      <c r="C6" s="25" t="s">
        <v>329</v>
      </c>
      <c r="D6" s="26" t="n">
        <v>10</v>
      </c>
      <c r="E6" s="26" t="n">
        <v>1.35</v>
      </c>
      <c r="F6" s="26" t="s">
        <v>330</v>
      </c>
    </row>
    <row r="7" customFormat="false" ht="15" hidden="false" customHeight="false" outlineLevel="0" collapsed="false">
      <c r="A7" s="25" t="s">
        <v>332</v>
      </c>
      <c r="B7" s="26" t="s">
        <v>328</v>
      </c>
      <c r="C7" s="25" t="s">
        <v>333</v>
      </c>
      <c r="D7" s="26" t="n">
        <v>50</v>
      </c>
      <c r="E7" s="26" t="n">
        <v>1.5</v>
      </c>
      <c r="F7" s="26" t="n">
        <v>50</v>
      </c>
    </row>
    <row r="8" customFormat="false" ht="15" hidden="false" customHeight="false" outlineLevel="0" collapsed="false">
      <c r="A8" s="25" t="s">
        <v>334</v>
      </c>
      <c r="B8" s="26" t="s">
        <v>328</v>
      </c>
      <c r="C8" s="25" t="s">
        <v>335</v>
      </c>
      <c r="D8" s="26" t="n">
        <v>15</v>
      </c>
      <c r="E8" s="26" t="n">
        <v>1.4</v>
      </c>
      <c r="F8" s="26" t="s">
        <v>330</v>
      </c>
    </row>
    <row r="9" customFormat="false" ht="15" hidden="false" customHeight="false" outlineLevel="0" collapsed="false">
      <c r="A9" s="25" t="s">
        <v>336</v>
      </c>
      <c r="B9" s="26" t="s">
        <v>328</v>
      </c>
      <c r="C9" s="25" t="s">
        <v>53</v>
      </c>
      <c r="D9" s="26" t="n">
        <v>100</v>
      </c>
      <c r="E9" s="26" t="n">
        <v>1.6</v>
      </c>
      <c r="F9" s="26" t="s">
        <v>330</v>
      </c>
    </row>
    <row r="10" customFormat="false" ht="15" hidden="false" customHeight="false" outlineLevel="0" collapsed="false">
      <c r="A10" s="25" t="s">
        <v>337</v>
      </c>
      <c r="B10" s="26" t="s">
        <v>328</v>
      </c>
      <c r="C10" s="25" t="s">
        <v>338</v>
      </c>
      <c r="D10" s="26" t="n">
        <v>5000</v>
      </c>
      <c r="E10" s="26" t="n">
        <v>3</v>
      </c>
      <c r="F10" s="26" t="n">
        <v>5</v>
      </c>
    </row>
    <row r="11" customFormat="false" ht="15" hidden="false" customHeight="false" outlineLevel="0" collapsed="false">
      <c r="A11" s="25" t="s">
        <v>339</v>
      </c>
      <c r="B11" s="26" t="s">
        <v>328</v>
      </c>
      <c r="C11" s="25" t="s">
        <v>340</v>
      </c>
      <c r="D11" s="26" t="n">
        <v>20000</v>
      </c>
      <c r="E11" s="26" t="n">
        <v>4</v>
      </c>
      <c r="F11" s="26" t="n">
        <v>5</v>
      </c>
    </row>
    <row r="12" customFormat="false" ht="15" hidden="false" customHeight="false" outlineLevel="0" collapsed="false">
      <c r="A12" s="25" t="s">
        <v>341</v>
      </c>
      <c r="B12" s="26" t="s">
        <v>342</v>
      </c>
      <c r="C12" s="25" t="s">
        <v>335</v>
      </c>
      <c r="D12" s="26" t="n">
        <v>20</v>
      </c>
      <c r="E12" s="26" t="n">
        <v>1.4</v>
      </c>
      <c r="F12" s="26" t="s">
        <v>330</v>
      </c>
    </row>
    <row r="13" customFormat="false" ht="15" hidden="false" customHeight="false" outlineLevel="0" collapsed="false">
      <c r="A13" s="25" t="s">
        <v>343</v>
      </c>
      <c r="B13" s="26" t="s">
        <v>342</v>
      </c>
      <c r="C13" s="25" t="s">
        <v>344</v>
      </c>
      <c r="D13" s="26" t="n">
        <v>20</v>
      </c>
      <c r="E13" s="26" t="n">
        <v>1.4</v>
      </c>
      <c r="F13" s="26" t="s">
        <v>330</v>
      </c>
    </row>
    <row r="14" customFormat="false" ht="15" hidden="false" customHeight="false" outlineLevel="0" collapsed="false">
      <c r="A14" s="25" t="s">
        <v>345</v>
      </c>
      <c r="B14" s="26" t="s">
        <v>342</v>
      </c>
      <c r="C14" s="25" t="s">
        <v>335</v>
      </c>
      <c r="D14" s="26" t="n">
        <v>20</v>
      </c>
      <c r="E14" s="26" t="n">
        <v>1.4</v>
      </c>
      <c r="F14" s="26" t="s">
        <v>330</v>
      </c>
    </row>
    <row r="15" customFormat="false" ht="15" hidden="false" customHeight="false" outlineLevel="0" collapsed="false">
      <c r="A15" s="25" t="s">
        <v>346</v>
      </c>
      <c r="B15" s="26" t="s">
        <v>342</v>
      </c>
      <c r="C15" s="25" t="s">
        <v>53</v>
      </c>
      <c r="D15" s="26" t="n">
        <v>25</v>
      </c>
      <c r="E15" s="26" t="n">
        <v>1.4</v>
      </c>
      <c r="F15" s="26" t="s">
        <v>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16.15" hidden="false" customHeight="false" outlineLevel="0" collapsed="false">
      <c r="A1" s="24" t="s">
        <v>347</v>
      </c>
    </row>
    <row r="3" customFormat="false" ht="15" hidden="false" customHeight="false" outlineLevel="0" collapsed="false">
      <c r="A3" s="15" t="s">
        <v>348</v>
      </c>
      <c r="B3" s="15" t="s">
        <v>349</v>
      </c>
      <c r="C3" s="15" t="s">
        <v>350</v>
      </c>
      <c r="D3" s="15" t="s">
        <v>351</v>
      </c>
    </row>
    <row r="4" customFormat="false" ht="15" hidden="false" customHeight="false" outlineLevel="0" collapsed="false">
      <c r="A4" s="25" t="s">
        <v>352</v>
      </c>
      <c r="B4" s="26" t="n">
        <v>100</v>
      </c>
      <c r="C4" s="26" t="n">
        <v>20</v>
      </c>
      <c r="D4" s="26" t="n">
        <v>3</v>
      </c>
    </row>
    <row r="5" customFormat="false" ht="15" hidden="false" customHeight="false" outlineLevel="0" collapsed="false">
      <c r="A5" s="25" t="s">
        <v>353</v>
      </c>
      <c r="B5" s="26" t="n">
        <v>500</v>
      </c>
      <c r="C5" s="26" t="n">
        <v>35</v>
      </c>
      <c r="D5" s="26" t="n">
        <v>3</v>
      </c>
    </row>
    <row r="6" customFormat="false" ht="15" hidden="false" customHeight="false" outlineLevel="0" collapsed="false">
      <c r="A6" s="25" t="s">
        <v>354</v>
      </c>
      <c r="B6" s="26" t="n">
        <v>1500</v>
      </c>
      <c r="C6" s="26" t="n">
        <v>60</v>
      </c>
      <c r="D6" s="26" t="n">
        <v>3</v>
      </c>
    </row>
    <row r="7" customFormat="false" ht="15" hidden="false" customHeight="false" outlineLevel="0" collapsed="false">
      <c r="A7" s="25" t="s">
        <v>355</v>
      </c>
      <c r="B7" s="26" t="n">
        <v>3000</v>
      </c>
      <c r="C7" s="26" t="n">
        <v>100</v>
      </c>
      <c r="D7" s="26" t="n">
        <v>3</v>
      </c>
    </row>
    <row r="9" customFormat="false" ht="15" hidden="false" customHeight="false" outlineLevel="0" collapsed="false">
      <c r="A9" s="27" t="s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16.15" hidden="false" customHeight="false" outlineLevel="0" collapsed="false">
      <c r="A1" s="24" t="s">
        <v>357</v>
      </c>
    </row>
    <row r="3" customFormat="false" ht="15" hidden="false" customHeight="false" outlineLevel="0" collapsed="false">
      <c r="A3" s="15" t="s">
        <v>358</v>
      </c>
      <c r="B3" s="15" t="s">
        <v>359</v>
      </c>
      <c r="C3" s="15" t="s">
        <v>306</v>
      </c>
    </row>
    <row r="4" customFormat="false" ht="15" hidden="false" customHeight="false" outlineLevel="0" collapsed="false">
      <c r="A4" s="25" t="s">
        <v>360</v>
      </c>
      <c r="B4" s="26" t="n">
        <v>100</v>
      </c>
      <c r="C4" s="25" t="s">
        <v>361</v>
      </c>
    </row>
    <row r="5" customFormat="false" ht="15" hidden="false" customHeight="false" outlineLevel="0" collapsed="false">
      <c r="A5" s="25" t="s">
        <v>362</v>
      </c>
      <c r="B5" s="26" t="n">
        <v>150</v>
      </c>
      <c r="C5" s="25" t="s">
        <v>363</v>
      </c>
    </row>
    <row r="6" customFormat="false" ht="15" hidden="false" customHeight="false" outlineLevel="0" collapsed="false">
      <c r="A6" s="25" t="s">
        <v>364</v>
      </c>
      <c r="B6" s="26" t="n">
        <v>50</v>
      </c>
      <c r="C6" s="25" t="s">
        <v>365</v>
      </c>
    </row>
    <row r="7" customFormat="false" ht="15" hidden="false" customHeight="false" outlineLevel="0" collapsed="false">
      <c r="A7" s="25" t="s">
        <v>366</v>
      </c>
      <c r="B7" s="26" t="n">
        <v>80</v>
      </c>
      <c r="C7" s="25" t="s">
        <v>367</v>
      </c>
    </row>
    <row r="8" customFormat="false" ht="15" hidden="false" customHeight="false" outlineLevel="0" collapsed="false">
      <c r="A8" s="25" t="s">
        <v>368</v>
      </c>
      <c r="B8" s="26" t="n">
        <v>50</v>
      </c>
      <c r="C8" s="25" t="s">
        <v>369</v>
      </c>
    </row>
    <row r="9" customFormat="false" ht="15" hidden="false" customHeight="false" outlineLevel="0" collapsed="false">
      <c r="A9" s="25" t="s">
        <v>370</v>
      </c>
      <c r="B9" s="26" t="n">
        <v>120</v>
      </c>
      <c r="C9" s="25" t="s">
        <v>371</v>
      </c>
    </row>
    <row r="10" customFormat="false" ht="15" hidden="false" customHeight="false" outlineLevel="0" collapsed="false">
      <c r="A10" s="25" t="s">
        <v>372</v>
      </c>
      <c r="B10" s="26" t="n">
        <v>900</v>
      </c>
      <c r="C10" s="25" t="s">
        <v>373</v>
      </c>
    </row>
    <row r="11" customFormat="false" ht="15" hidden="false" customHeight="false" outlineLevel="0" collapsed="false">
      <c r="A11" s="25" t="s">
        <v>374</v>
      </c>
      <c r="B11" s="26" t="n">
        <v>100</v>
      </c>
      <c r="C11" s="25" t="s">
        <v>375</v>
      </c>
    </row>
    <row r="12" customFormat="false" ht="15" hidden="false" customHeight="false" outlineLevel="0" collapsed="false">
      <c r="A12" s="25" t="s">
        <v>376</v>
      </c>
      <c r="B12" s="26" t="n">
        <v>800</v>
      </c>
      <c r="C12" s="25" t="s">
        <v>377</v>
      </c>
    </row>
    <row r="13" customFormat="false" ht="15" hidden="false" customHeight="false" outlineLevel="0" collapsed="false">
      <c r="A13" s="25" t="s">
        <v>378</v>
      </c>
      <c r="B13" s="26" t="n">
        <v>150</v>
      </c>
      <c r="C13" s="25" t="s">
        <v>379</v>
      </c>
    </row>
    <row r="14" customFormat="false" ht="15" hidden="false" customHeight="false" outlineLevel="0" collapsed="false">
      <c r="A14" s="25" t="s">
        <v>380</v>
      </c>
      <c r="B14" s="26" t="n">
        <v>1000</v>
      </c>
      <c r="C14" s="25" t="s">
        <v>379</v>
      </c>
    </row>
    <row r="15" customFormat="false" ht="15" hidden="false" customHeight="false" outlineLevel="0" collapsed="false">
      <c r="A15" s="25" t="s">
        <v>381</v>
      </c>
      <c r="B15" s="26" t="n">
        <v>1000</v>
      </c>
      <c r="C15" s="25" t="s">
        <v>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8"/>
    <col collapsed="false" customWidth="true" hidden="false" outlineLevel="0" max="3" min="3" style="1" width="20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8"/>
    <col collapsed="false" customWidth="true" hidden="false" outlineLevel="0" max="7" min="7" style="1" width="38"/>
  </cols>
  <sheetData>
    <row r="1" customFormat="false" ht="17.25" hidden="false" customHeight="true" outlineLevel="0" collapsed="false">
      <c r="A1" s="2" t="s">
        <v>383</v>
      </c>
    </row>
    <row r="3" customFormat="false" ht="15" hidden="false" customHeight="true" outlineLevel="0" collapsed="false">
      <c r="A3" s="9" t="s">
        <v>384</v>
      </c>
      <c r="B3" s="9" t="s">
        <v>385</v>
      </c>
      <c r="C3" s="9" t="s">
        <v>386</v>
      </c>
      <c r="D3" s="9" t="s">
        <v>387</v>
      </c>
      <c r="E3" s="9" t="s">
        <v>388</v>
      </c>
      <c r="F3" s="9" t="s">
        <v>389</v>
      </c>
      <c r="G3" s="9" t="s">
        <v>390</v>
      </c>
    </row>
    <row r="4" customFormat="false" ht="15" hidden="false" customHeight="true" outlineLevel="0" collapsed="false">
      <c r="A4" s="12" t="s">
        <v>391</v>
      </c>
      <c r="B4" s="11" t="s">
        <v>392</v>
      </c>
      <c r="C4" s="11" t="s">
        <v>393</v>
      </c>
      <c r="D4" s="11" t="n">
        <v>15</v>
      </c>
      <c r="E4" s="11" t="n">
        <f aca="false">D4*Параметры!$B$52</f>
        <v>150</v>
      </c>
      <c r="F4" s="12" t="s">
        <v>169</v>
      </c>
      <c r="G4" s="12" t="s">
        <v>394</v>
      </c>
    </row>
    <row r="5" customFormat="false" ht="15" hidden="false" customHeight="true" outlineLevel="0" collapsed="false">
      <c r="A5" s="12" t="s">
        <v>395</v>
      </c>
      <c r="B5" s="11" t="s">
        <v>392</v>
      </c>
      <c r="C5" s="11" t="s">
        <v>393</v>
      </c>
      <c r="D5" s="11" t="n">
        <v>15</v>
      </c>
      <c r="E5" s="11" t="n">
        <f aca="false">D5*Параметры!$B$52</f>
        <v>150</v>
      </c>
      <c r="F5" s="12" t="s">
        <v>169</v>
      </c>
      <c r="G5" s="12" t="s">
        <v>396</v>
      </c>
    </row>
    <row r="6" customFormat="false" ht="15" hidden="false" customHeight="true" outlineLevel="0" collapsed="false">
      <c r="A6" s="12" t="s">
        <v>397</v>
      </c>
      <c r="B6" s="11" t="s">
        <v>392</v>
      </c>
      <c r="C6" s="11" t="s">
        <v>393</v>
      </c>
      <c r="D6" s="11" t="n">
        <v>20</v>
      </c>
      <c r="E6" s="11" t="n">
        <f aca="false">D6*Параметры!$B$52</f>
        <v>200</v>
      </c>
      <c r="F6" s="12" t="s">
        <v>169</v>
      </c>
      <c r="G6" s="12" t="s">
        <v>398</v>
      </c>
    </row>
    <row r="7" customFormat="false" ht="15" hidden="false" customHeight="true" outlineLevel="0" collapsed="false">
      <c r="A7" s="19" t="s">
        <v>399</v>
      </c>
      <c r="B7" s="29" t="s">
        <v>400</v>
      </c>
      <c r="C7" s="29" t="s">
        <v>401</v>
      </c>
      <c r="D7" s="29" t="n">
        <v>40</v>
      </c>
      <c r="E7" s="29" t="n">
        <f aca="false">D7*Параметры!$B$52</f>
        <v>400</v>
      </c>
      <c r="F7" s="19" t="s">
        <v>169</v>
      </c>
      <c r="G7" s="19" t="s">
        <v>402</v>
      </c>
    </row>
    <row r="8" customFormat="false" ht="15" hidden="false" customHeight="true" outlineLevel="0" collapsed="false">
      <c r="A8" s="19" t="s">
        <v>403</v>
      </c>
      <c r="B8" s="29" t="s">
        <v>400</v>
      </c>
      <c r="C8" s="29" t="s">
        <v>401</v>
      </c>
      <c r="D8" s="29" t="n">
        <v>40</v>
      </c>
      <c r="E8" s="29" t="n">
        <f aca="false">D8*Параметры!$B$52</f>
        <v>400</v>
      </c>
      <c r="F8" s="19" t="s">
        <v>169</v>
      </c>
      <c r="G8" s="19" t="s">
        <v>404</v>
      </c>
    </row>
    <row r="9" customFormat="false" ht="15" hidden="false" customHeight="true" outlineLevel="0" collapsed="false">
      <c r="A9" s="19" t="s">
        <v>405</v>
      </c>
      <c r="B9" s="29" t="s">
        <v>400</v>
      </c>
      <c r="C9" s="29" t="s">
        <v>401</v>
      </c>
      <c r="D9" s="29" t="n">
        <v>60</v>
      </c>
      <c r="E9" s="29" t="n">
        <f aca="false">D9*Параметры!$B$52</f>
        <v>600</v>
      </c>
      <c r="F9" s="19" t="s">
        <v>391</v>
      </c>
      <c r="G9" s="19" t="s">
        <v>406</v>
      </c>
    </row>
    <row r="10" customFormat="false" ht="15" hidden="false" customHeight="true" outlineLevel="0" collapsed="false">
      <c r="A10" s="23" t="s">
        <v>407</v>
      </c>
      <c r="B10" s="30" t="s">
        <v>408</v>
      </c>
      <c r="C10" s="30" t="s">
        <v>409</v>
      </c>
      <c r="D10" s="30" t="n">
        <v>120</v>
      </c>
      <c r="E10" s="30" t="n">
        <f aca="false">D10*Параметры!$B$52</f>
        <v>1200</v>
      </c>
      <c r="F10" s="23" t="s">
        <v>391</v>
      </c>
      <c r="G10" s="23" t="s">
        <v>410</v>
      </c>
    </row>
    <row r="11" customFormat="false" ht="15" hidden="false" customHeight="true" outlineLevel="0" collapsed="false">
      <c r="A11" s="23" t="s">
        <v>411</v>
      </c>
      <c r="B11" s="30" t="s">
        <v>408</v>
      </c>
      <c r="C11" s="30" t="s">
        <v>409</v>
      </c>
      <c r="D11" s="30" t="n">
        <v>150</v>
      </c>
      <c r="E11" s="30" t="n">
        <f aca="false">D11*Параметры!$B$52</f>
        <v>1500</v>
      </c>
      <c r="F11" s="23" t="s">
        <v>412</v>
      </c>
      <c r="G11" s="23" t="s">
        <v>413</v>
      </c>
    </row>
    <row r="12" customFormat="false" ht="15" hidden="false" customHeight="true" outlineLevel="0" collapsed="false">
      <c r="A12" s="23" t="s">
        <v>414</v>
      </c>
      <c r="B12" s="30" t="s">
        <v>415</v>
      </c>
      <c r="C12" s="30" t="s">
        <v>409</v>
      </c>
      <c r="D12" s="30" t="n">
        <v>280</v>
      </c>
      <c r="E12" s="30" t="n">
        <f aca="false">D12*Параметры!$B$52</f>
        <v>2800</v>
      </c>
      <c r="F12" s="23" t="s">
        <v>169</v>
      </c>
      <c r="G12" s="23" t="s">
        <v>416</v>
      </c>
    </row>
    <row r="13" customFormat="false" ht="15" hidden="false" customHeight="true" outlineLevel="0" collapsed="false">
      <c r="A13" s="23" t="s">
        <v>412</v>
      </c>
      <c r="B13" s="30" t="s">
        <v>417</v>
      </c>
      <c r="C13" s="30" t="s">
        <v>409</v>
      </c>
      <c r="D13" s="30" t="n">
        <v>500</v>
      </c>
      <c r="E13" s="30" t="n">
        <f aca="false">D13*Параметры!$B$52</f>
        <v>5000</v>
      </c>
      <c r="F13" s="23" t="s">
        <v>418</v>
      </c>
      <c r="G13" s="23" t="s">
        <v>419</v>
      </c>
    </row>
    <row r="15" customFormat="false" ht="15" hidden="false" customHeight="true" outlineLevel="0" collapsed="false">
      <c r="A15" s="8" t="s">
        <v>420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0"/>
  </cols>
  <sheetData>
    <row r="1" customFormat="false" ht="17.25" hidden="false" customHeight="true" outlineLevel="0" collapsed="false">
      <c r="A1" s="2" t="s">
        <v>421</v>
      </c>
    </row>
    <row r="3" customFormat="false" ht="15" hidden="false" customHeight="true" outlineLevel="0" collapsed="false">
      <c r="A3" s="9" t="s">
        <v>422</v>
      </c>
      <c r="B3" s="9" t="s">
        <v>423</v>
      </c>
      <c r="C3" s="9" t="s">
        <v>424</v>
      </c>
    </row>
    <row r="4" customFormat="false" ht="15" hidden="false" customHeight="true" outlineLevel="0" collapsed="false">
      <c r="A4" s="31"/>
      <c r="B4" s="31"/>
      <c r="C4" s="31"/>
    </row>
    <row r="5" customFormat="false" ht="15" hidden="false" customHeight="true" outlineLevel="0" collapsed="false">
      <c r="A5" s="12" t="s">
        <v>425</v>
      </c>
      <c r="B5" s="11" t="n">
        <v>2</v>
      </c>
      <c r="C5" s="11" t="s">
        <v>426</v>
      </c>
    </row>
    <row r="6" customFormat="false" ht="15" hidden="false" customHeight="true" outlineLevel="0" collapsed="false">
      <c r="A6" s="12" t="s">
        <v>427</v>
      </c>
      <c r="B6" s="11" t="n">
        <v>15</v>
      </c>
      <c r="C6" s="11" t="s">
        <v>428</v>
      </c>
    </row>
    <row r="7" customFormat="false" ht="15" hidden="false" customHeight="true" outlineLevel="0" collapsed="false">
      <c r="A7" s="12" t="s">
        <v>429</v>
      </c>
      <c r="B7" s="11" t="n">
        <f aca="false">B6/B5</f>
        <v>7.5</v>
      </c>
      <c r="C7" s="11" t="s">
        <v>430</v>
      </c>
    </row>
    <row r="8" customFormat="false" ht="15" hidden="false" customHeight="true" outlineLevel="0" collapsed="false">
      <c r="A8" s="12" t="s">
        <v>431</v>
      </c>
      <c r="B8" s="11" t="n">
        <v>500</v>
      </c>
      <c r="C8" s="11" t="s">
        <v>428</v>
      </c>
    </row>
    <row r="9" customFormat="false" ht="15" hidden="false" customHeight="true" outlineLevel="0" collapsed="false">
      <c r="A9" s="12" t="s">
        <v>432</v>
      </c>
      <c r="B9" s="11" t="n">
        <f aca="false">B8/B5</f>
        <v>250</v>
      </c>
      <c r="C9" s="11" t="s">
        <v>430</v>
      </c>
    </row>
    <row r="10" customFormat="false" ht="15" hidden="false" customHeight="true" outlineLevel="0" collapsed="false">
      <c r="A10" s="12" t="s">
        <v>433</v>
      </c>
      <c r="B10" s="29" t="n">
        <f aca="false">B9/52</f>
        <v>4.80769230769231</v>
      </c>
      <c r="C10" s="11" t="s">
        <v>434</v>
      </c>
    </row>
    <row r="11" customFormat="false" ht="15" hidden="false" customHeight="true" outlineLevel="0" collapsed="false">
      <c r="A11" s="12" t="s">
        <v>435</v>
      </c>
      <c r="B11" s="11" t="s">
        <v>436</v>
      </c>
      <c r="C11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14"/>
  </cols>
  <sheetData>
    <row r="1" customFormat="false" ht="17.25" hidden="false" customHeight="true" outlineLevel="0" collapsed="false">
      <c r="A1" s="2" t="s">
        <v>437</v>
      </c>
    </row>
    <row r="4" customFormat="false" ht="15" hidden="false" customHeight="true" outlineLevel="0" collapsed="false">
      <c r="A4" s="9" t="s">
        <v>422</v>
      </c>
      <c r="B4" s="9" t="s">
        <v>423</v>
      </c>
      <c r="C4" s="9" t="s">
        <v>424</v>
      </c>
    </row>
    <row r="5" customFormat="false" ht="15" hidden="false" customHeight="true" outlineLevel="0" collapsed="false">
      <c r="A5" s="12" t="s">
        <v>438</v>
      </c>
      <c r="B5" s="11" t="n">
        <f aca="false">Параметры!$B$52</f>
        <v>10</v>
      </c>
      <c r="C5" s="11" t="s">
        <v>439</v>
      </c>
    </row>
    <row r="6" customFormat="false" ht="15" hidden="false" customHeight="true" outlineLevel="0" collapsed="false">
      <c r="A6" s="12" t="s">
        <v>440</v>
      </c>
      <c r="B6" s="11" t="n">
        <f aca="false">Параметры!$B$54*Параметры!$B$52</f>
        <v>10</v>
      </c>
      <c r="C6" s="11" t="s">
        <v>439</v>
      </c>
    </row>
    <row r="7" customFormat="false" ht="15" hidden="false" customHeight="true" outlineLevel="0" collapsed="false">
      <c r="A7" s="12" t="s">
        <v>441</v>
      </c>
      <c r="B7" s="11" t="n">
        <f aca="false">Параметры!$B$55*Параметры!$B$52</f>
        <v>5000</v>
      </c>
      <c r="C7" s="11" t="s">
        <v>439</v>
      </c>
    </row>
    <row r="8" customFormat="false" ht="15" hidden="false" customHeight="true" outlineLevel="0" collapsed="false">
      <c r="A8" s="12" t="s">
        <v>442</v>
      </c>
      <c r="B8" s="11" t="n">
        <f aca="false">Параметры!$B$53</f>
        <v>0.25</v>
      </c>
      <c r="C8" s="11" t="s">
        <v>443</v>
      </c>
    </row>
    <row r="9" customFormat="false" ht="15" hidden="false" customHeight="true" outlineLevel="0" collapsed="false">
      <c r="A9" s="12" t="s">
        <v>444</v>
      </c>
      <c r="B9" s="11" t="n">
        <f aca="false">B7*(1-Параметры!$B$53)</f>
        <v>3750</v>
      </c>
      <c r="C9" s="11" t="s">
        <v>439</v>
      </c>
    </row>
    <row r="10" customFormat="false" ht="15" hidden="false" customHeight="true" outlineLevel="0" collapsed="false">
      <c r="A10" s="12" t="s">
        <v>75</v>
      </c>
      <c r="B10" s="11" t="str">
        <f aca="false">IF(Параметры!$B$56=1,"СРАЗУ","гейт")</f>
        <v>СРАЗУ</v>
      </c>
      <c r="C10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4" min="3" style="0" width="12"/>
  </cols>
  <sheetData>
    <row r="1" customFormat="false" ht="16.15" hidden="false" customHeight="false" outlineLevel="0" collapsed="false">
      <c r="A1" s="24" t="s">
        <v>445</v>
      </c>
    </row>
    <row r="3" customFormat="false" ht="15" hidden="false" customHeight="false" outlineLevel="0" collapsed="false">
      <c r="A3" s="15" t="s">
        <v>446</v>
      </c>
      <c r="B3" s="15" t="s">
        <v>447</v>
      </c>
      <c r="C3" s="15" t="s">
        <v>448</v>
      </c>
      <c r="D3" s="15" t="s">
        <v>449</v>
      </c>
    </row>
    <row r="4" customFormat="false" ht="15" hidden="false" customHeight="false" outlineLevel="0" collapsed="false">
      <c r="A4" s="25" t="s">
        <v>450</v>
      </c>
      <c r="B4" s="25" t="s">
        <v>451</v>
      </c>
      <c r="C4" s="26" t="s">
        <v>452</v>
      </c>
      <c r="D4" s="26" t="s">
        <v>169</v>
      </c>
    </row>
    <row r="5" customFormat="false" ht="15" hidden="false" customHeight="false" outlineLevel="0" collapsed="false">
      <c r="A5" s="25" t="s">
        <v>453</v>
      </c>
      <c r="B5" s="25" t="s">
        <v>454</v>
      </c>
      <c r="C5" s="26" t="s">
        <v>455</v>
      </c>
      <c r="D5" s="26" t="s">
        <v>456</v>
      </c>
    </row>
    <row r="6" customFormat="false" ht="15" hidden="false" customHeight="false" outlineLevel="0" collapsed="false">
      <c r="A6" s="25" t="s">
        <v>457</v>
      </c>
      <c r="B6" s="25" t="s">
        <v>458</v>
      </c>
      <c r="C6" s="26" t="s">
        <v>459</v>
      </c>
      <c r="D6" s="26" t="s">
        <v>460</v>
      </c>
    </row>
    <row r="7" customFormat="false" ht="15" hidden="false" customHeight="false" outlineLevel="0" collapsed="false">
      <c r="A7" s="25" t="s">
        <v>461</v>
      </c>
      <c r="B7" s="25" t="s">
        <v>462</v>
      </c>
      <c r="C7" s="26" t="s">
        <v>463</v>
      </c>
      <c r="D7" s="26" t="s">
        <v>464</v>
      </c>
    </row>
    <row r="8" customFormat="false" ht="15" hidden="false" customHeight="false" outlineLevel="0" collapsed="false">
      <c r="A8" s="25" t="s">
        <v>465</v>
      </c>
      <c r="B8" s="25" t="s">
        <v>466</v>
      </c>
      <c r="C8" s="26" t="s">
        <v>467</v>
      </c>
      <c r="D8" s="26" t="s">
        <v>169</v>
      </c>
    </row>
    <row r="9" customFormat="false" ht="15" hidden="false" customHeight="false" outlineLevel="0" collapsed="false">
      <c r="A9" s="25" t="s">
        <v>468</v>
      </c>
      <c r="B9" s="25" t="s">
        <v>469</v>
      </c>
      <c r="C9" s="26" t="s">
        <v>452</v>
      </c>
      <c r="D9" s="26" t="s">
        <v>169</v>
      </c>
    </row>
    <row r="10" customFormat="false" ht="15" hidden="false" customHeight="false" outlineLevel="0" collapsed="false">
      <c r="A10" s="25" t="s">
        <v>470</v>
      </c>
      <c r="B10" s="25" t="s">
        <v>471</v>
      </c>
      <c r="C10" s="26" t="s">
        <v>472</v>
      </c>
      <c r="D10" s="26" t="s">
        <v>473</v>
      </c>
    </row>
    <row r="11" customFormat="false" ht="15" hidden="false" customHeight="false" outlineLevel="0" collapsed="false">
      <c r="A11" s="25" t="s">
        <v>474</v>
      </c>
      <c r="B11" s="25" t="s">
        <v>475</v>
      </c>
      <c r="C11" s="26" t="s">
        <v>452</v>
      </c>
      <c r="D11" s="26" t="s">
        <v>169</v>
      </c>
    </row>
    <row r="12" customFormat="false" ht="15" hidden="false" customHeight="false" outlineLevel="0" collapsed="false">
      <c r="A12" s="25" t="s">
        <v>476</v>
      </c>
      <c r="B12" s="25" t="s">
        <v>477</v>
      </c>
      <c r="C12" s="26" t="s">
        <v>452</v>
      </c>
      <c r="D12" s="26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42"/>
  </cols>
  <sheetData>
    <row r="1" customFormat="false" ht="17.25" hidden="false" customHeight="true" outlineLevel="0" collapsed="false">
      <c r="A1" s="2" t="s">
        <v>478</v>
      </c>
    </row>
    <row r="3" customFormat="false" ht="15" hidden="false" customHeight="true" outlineLevel="0" collapsed="false">
      <c r="A3" s="9" t="s">
        <v>479</v>
      </c>
      <c r="B3" s="9" t="s">
        <v>480</v>
      </c>
      <c r="C3" s="9" t="s">
        <v>481</v>
      </c>
      <c r="D3" s="9" t="s">
        <v>482</v>
      </c>
      <c r="E3" s="9" t="s">
        <v>483</v>
      </c>
    </row>
    <row r="4" customFormat="false" ht="15" hidden="false" customHeight="true" outlineLevel="0" collapsed="false">
      <c r="A4" s="11" t="n">
        <v>1</v>
      </c>
      <c r="B4" s="11" t="n">
        <v>50</v>
      </c>
      <c r="C4" s="11" t="s">
        <v>275</v>
      </c>
      <c r="D4" s="11" t="s">
        <v>275</v>
      </c>
      <c r="E4" s="12" t="s">
        <v>484</v>
      </c>
    </row>
    <row r="5" customFormat="false" ht="15" hidden="false" customHeight="true" outlineLevel="0" collapsed="false">
      <c r="A5" s="11" t="n">
        <v>2</v>
      </c>
      <c r="B5" s="11" t="n">
        <v>100</v>
      </c>
      <c r="C5" s="11" t="s">
        <v>485</v>
      </c>
      <c r="D5" s="11" t="s">
        <v>485</v>
      </c>
      <c r="E5" s="12" t="s">
        <v>486</v>
      </c>
    </row>
    <row r="6" customFormat="false" ht="15" hidden="false" customHeight="true" outlineLevel="0" collapsed="false">
      <c r="A6" s="11" t="n">
        <v>3</v>
      </c>
      <c r="B6" s="11" t="n">
        <v>175</v>
      </c>
      <c r="C6" s="11" t="s">
        <v>487</v>
      </c>
      <c r="D6" s="11" t="s">
        <v>487</v>
      </c>
      <c r="E6" s="12" t="s">
        <v>488</v>
      </c>
    </row>
    <row r="7" customFormat="false" ht="15" hidden="false" customHeight="true" outlineLevel="0" collapsed="false">
      <c r="A7" s="11" t="n">
        <v>4</v>
      </c>
      <c r="B7" s="11" t="n">
        <v>275</v>
      </c>
      <c r="C7" s="11" t="s">
        <v>489</v>
      </c>
      <c r="D7" s="11" t="s">
        <v>489</v>
      </c>
      <c r="E7" s="12" t="s">
        <v>490</v>
      </c>
    </row>
    <row r="8" customFormat="false" ht="15" hidden="false" customHeight="true" outlineLevel="0" collapsed="false">
      <c r="A8" s="11" t="n">
        <v>5</v>
      </c>
      <c r="B8" s="11" t="n">
        <v>400</v>
      </c>
      <c r="C8" s="11" t="s">
        <v>491</v>
      </c>
      <c r="D8" s="11" t="s">
        <v>272</v>
      </c>
      <c r="E8" s="12" t="s">
        <v>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26"/>
    <col collapsed="false" customWidth="true" hidden="false" outlineLevel="0" max="5" min="5" style="1" width="16"/>
    <col collapsed="false" customWidth="true" hidden="false" outlineLevel="0" max="6" min="6" style="1" width="20"/>
  </cols>
  <sheetData>
    <row r="1" customFormat="false" ht="15.75" hidden="false" customHeight="true" outlineLevel="0" collapsed="false">
      <c r="A1" s="14" t="s">
        <v>493</v>
      </c>
    </row>
    <row r="3" customFormat="false" ht="26.25" hidden="false" customHeight="true" outlineLevel="0" collapsed="false">
      <c r="A3" s="15" t="s">
        <v>494</v>
      </c>
      <c r="B3" s="15" t="s">
        <v>281</v>
      </c>
      <c r="C3" s="15" t="s">
        <v>495</v>
      </c>
      <c r="D3" s="15" t="s">
        <v>496</v>
      </c>
      <c r="E3" s="15" t="s">
        <v>497</v>
      </c>
      <c r="F3" s="15" t="s">
        <v>498</v>
      </c>
    </row>
    <row r="4" customFormat="false" ht="26.25" hidden="false" customHeight="true" outlineLevel="0" collapsed="false">
      <c r="A4" s="32" t="s">
        <v>499</v>
      </c>
      <c r="B4" s="32" t="s">
        <v>285</v>
      </c>
      <c r="C4" s="32" t="s">
        <v>500</v>
      </c>
      <c r="D4" s="32" t="s">
        <v>501</v>
      </c>
      <c r="E4" s="32" t="s">
        <v>260</v>
      </c>
      <c r="F4" s="32" t="s">
        <v>502</v>
      </c>
    </row>
    <row r="5" customFormat="false" ht="15" hidden="false" customHeight="true" outlineLevel="0" collapsed="false">
      <c r="A5" s="32" t="s">
        <v>503</v>
      </c>
      <c r="B5" s="32" t="s">
        <v>286</v>
      </c>
      <c r="C5" s="32" t="s">
        <v>504</v>
      </c>
      <c r="D5" s="32" t="s">
        <v>505</v>
      </c>
      <c r="E5" s="32" t="s">
        <v>260</v>
      </c>
      <c r="F5" s="32" t="s">
        <v>506</v>
      </c>
    </row>
    <row r="6" customFormat="false" ht="15" hidden="false" customHeight="true" outlineLevel="0" collapsed="false">
      <c r="A6" s="32" t="s">
        <v>507</v>
      </c>
      <c r="B6" s="32" t="s">
        <v>287</v>
      </c>
      <c r="C6" s="32" t="s">
        <v>395</v>
      </c>
      <c r="D6" s="32" t="s">
        <v>508</v>
      </c>
      <c r="E6" s="32" t="s">
        <v>260</v>
      </c>
      <c r="F6" s="32" t="s">
        <v>506</v>
      </c>
    </row>
    <row r="7" customFormat="false" ht="15" hidden="false" customHeight="true" outlineLevel="0" collapsed="false">
      <c r="A7" s="32" t="s">
        <v>509</v>
      </c>
      <c r="B7" s="32" t="s">
        <v>288</v>
      </c>
      <c r="C7" s="32" t="s">
        <v>510</v>
      </c>
      <c r="D7" s="32" t="s">
        <v>511</v>
      </c>
      <c r="E7" s="32" t="s">
        <v>260</v>
      </c>
      <c r="F7" s="32" t="s">
        <v>506</v>
      </c>
    </row>
    <row r="8" customFormat="false" ht="15" hidden="false" customHeight="true" outlineLevel="0" collapsed="false">
      <c r="A8" s="32" t="s">
        <v>512</v>
      </c>
      <c r="B8" s="32" t="s">
        <v>289</v>
      </c>
      <c r="C8" s="32" t="s">
        <v>169</v>
      </c>
      <c r="D8" s="32" t="s">
        <v>513</v>
      </c>
      <c r="E8" s="32" t="s">
        <v>260</v>
      </c>
      <c r="F8" s="32" t="s">
        <v>506</v>
      </c>
    </row>
    <row r="9" customFormat="false" ht="15" hidden="false" customHeight="true" outlineLevel="0" collapsed="false">
      <c r="A9" s="32" t="s">
        <v>514</v>
      </c>
      <c r="B9" s="32" t="s">
        <v>290</v>
      </c>
      <c r="C9" s="32" t="s">
        <v>169</v>
      </c>
      <c r="D9" s="32" t="s">
        <v>515</v>
      </c>
      <c r="E9" s="32" t="s">
        <v>260</v>
      </c>
      <c r="F9" s="32" t="s">
        <v>506</v>
      </c>
    </row>
    <row r="10" customFormat="false" ht="15" hidden="false" customHeight="true" outlineLevel="0" collapsed="false">
      <c r="A10" s="32" t="s">
        <v>516</v>
      </c>
      <c r="B10" s="32" t="s">
        <v>291</v>
      </c>
      <c r="C10" s="32" t="s">
        <v>169</v>
      </c>
      <c r="D10" s="32" t="s">
        <v>517</v>
      </c>
      <c r="E10" s="32" t="s">
        <v>260</v>
      </c>
      <c r="F10" s="32" t="s">
        <v>518</v>
      </c>
    </row>
    <row r="12" customFormat="false" ht="15" hidden="false" customHeight="true" outlineLevel="0" collapsed="false">
      <c r="A12" s="8" t="s">
        <v>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2026-07-05T15:35:07Z</dcterms:created>
  <dc:creator>openpyxl</dc:creator>
  <dc:description/>
  <dc:language>en-US</dc:language>
  <cp:lastModifiedBy/>
  <dcterms:modified xsi:type="dcterms:W3CDTF">2026-07-05T19:12:43Z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